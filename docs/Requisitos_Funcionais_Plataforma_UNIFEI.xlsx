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quisitos Funcionais" sheetId="2" state="visible" r:id="rId2"/>
    <sheet name="Divergências TCC1" sheetId="3" state="visible" r:id="rId3"/>
  </sheets>
  <definedNames>
    <definedName name="_xlnm._FilterDatabase" localSheetId="1" hidden="1">'Requisitos Funcionais'!$A$1:$H$87</definedName>
    <definedName name="_xlnm._FilterDatabase" localSheetId="2" hidden="1">'Divergências TCC1'!$A$1:$E$10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3364"/>
      <sz val="14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4"/>
      </patternFill>
    </fill>
    <fill>
      <patternFill patternType="solid">
        <fgColor rgb="00F2F3F5"/>
      </patternFill>
    </fill>
  </fills>
  <borders count="2">
    <border>
      <left/>
      <right/>
      <top/>
      <bottom/>
      <diagonal/>
    </border>
    <border>
      <left style="thin">
        <color rgb="00D0D2D8"/>
      </left>
      <right style="thin">
        <color rgb="00D0D2D8"/>
      </right>
      <top style="thin">
        <color rgb="00D0D2D8"/>
      </top>
      <bottom style="thin">
        <color rgb="00D0D2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>
      <c r="A1" s="1" t="inlineStr">
        <is>
          <t>Requisitos Funcionais — Plataforma UNIFEI</t>
        </is>
      </c>
    </row>
    <row r="2" ht="30" customHeight="1">
      <c r="A2" s="2" t="inlineStr">
        <is>
          <t>Levantamento a partir do sistema implementado, e não do planejamento. As diferenças em relação ao TCC1 estão registradas na aba Divergências TCC1, com a justificativa de cada uma.</t>
        </is>
      </c>
    </row>
    <row r="4">
      <c r="A4" s="3" t="inlineStr">
        <is>
          <t>Prioridade</t>
        </is>
      </c>
      <c r="B4" s="3" t="inlineStr">
        <is>
          <t>Quantidade</t>
        </is>
      </c>
    </row>
    <row r="5">
      <c r="A5" s="4" t="inlineStr">
        <is>
          <t>CRÍTICA</t>
        </is>
      </c>
      <c r="B5" s="5">
        <f>COUNTIF('Requisitos Funcionais'!H2:H87,"CRÍTICA")</f>
        <v/>
      </c>
    </row>
    <row r="6">
      <c r="A6" s="4" t="inlineStr">
        <is>
          <t>ESSENCIAL</t>
        </is>
      </c>
      <c r="B6" s="5">
        <f>COUNTIF('Requisitos Funcionais'!H2:H87,"ESSENCIAL")</f>
        <v/>
      </c>
    </row>
    <row r="7">
      <c r="A7" s="4" t="inlineStr">
        <is>
          <t>IMPORTANTE</t>
        </is>
      </c>
      <c r="B7" s="5">
        <f>COUNTIF('Requisitos Funcionais'!H2:H87,"IMPORTANTE")</f>
        <v/>
      </c>
    </row>
    <row r="8">
      <c r="A8" s="4" t="inlineStr">
        <is>
          <t>DESEJÁVEL</t>
        </is>
      </c>
      <c r="B8" s="5">
        <f>COUNTIF('Requisitos Funcionais'!H2:H87,"DESEJÁVEL")</f>
        <v/>
      </c>
    </row>
    <row r="9">
      <c r="A9" s="6" t="inlineStr">
        <is>
          <t>Total</t>
        </is>
      </c>
      <c r="B9" s="7">
        <f>COUNTA('Requisitos Funcionais'!B2:B87)</f>
        <v/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6" customWidth="1" min="4" max="4"/>
    <col width="48" customWidth="1" min="5" max="5"/>
    <col width="68" customWidth="1" min="6" max="6"/>
    <col width="22" customWidth="1" min="7" max="7"/>
    <col width="13" customWidth="1" min="8" max="8"/>
  </cols>
  <sheetData>
    <row r="1" ht="30" customHeight="1">
      <c r="A1" s="3" t="inlineStr">
        <is>
          <t>ID</t>
        </is>
      </c>
      <c r="B1" s="3" t="inlineStr">
        <is>
          <t>Código RF</t>
        </is>
      </c>
      <c r="C1" s="3" t="inlineStr">
        <is>
          <t>Requisito</t>
        </is>
      </c>
      <c r="D1" s="3" t="inlineStr">
        <is>
          <t>Categoria</t>
        </is>
      </c>
      <c r="E1" s="3" t="inlineStr">
        <is>
          <t>Descrição Funcional</t>
        </is>
      </c>
      <c r="F1" s="3" t="inlineStr">
        <is>
          <t>Descrição Técnica</t>
        </is>
      </c>
      <c r="G1" s="3" t="inlineStr">
        <is>
          <t>Ator</t>
        </is>
      </c>
      <c r="H1" s="3" t="inlineStr">
        <is>
          <t>Prioridade</t>
        </is>
      </c>
    </row>
    <row r="2">
      <c r="A2" s="8" t="n">
        <v>1</v>
      </c>
      <c r="B2" s="8" t="inlineStr">
        <is>
          <t>RF-AUT-001</t>
        </is>
      </c>
      <c r="C2" s="8" t="inlineStr">
        <is>
          <t>Autenticar por CPF</t>
        </is>
      </c>
      <c r="D2" s="8" t="inlineStr">
        <is>
          <t>Autenticação</t>
        </is>
      </c>
      <c r="E2" s="8" t="inlineStr">
        <is>
          <t>Usuário entra na plataforma informando CPF e senha.</t>
        </is>
      </c>
      <c r="F2" s="8" t="inlineStr">
        <is>
          <t>POST /api/auth/login/. TokenObtainPairView do SimpleJWT com serializador próprio que aceita CPF no lugar de nome de usuário. O frontend remove pontuação antes de enviar. Retorna par de tokens: acesso de curta duração e renovação de longa. Recusa conta não ativada.</t>
        </is>
      </c>
      <c r="G2" s="8" t="inlineStr">
        <is>
          <t>Todos</t>
        </is>
      </c>
      <c r="H2" s="8" t="inlineStr">
        <is>
          <t>CRÍTICA</t>
        </is>
      </c>
    </row>
    <row r="3">
      <c r="A3" s="9" t="n">
        <v>2</v>
      </c>
      <c r="B3" s="9" t="inlineStr">
        <is>
          <t>RF-AUT-002</t>
        </is>
      </c>
      <c r="C3" s="9" t="inlineStr">
        <is>
          <t>Verificar vínculo institucional</t>
        </is>
      </c>
      <c r="D3" s="9" t="inlineStr">
        <is>
          <t>Autenticação</t>
        </is>
      </c>
      <c r="E3" s="9" t="inlineStr">
        <is>
          <t>Sistema confirma que o CPF pertence a alguém da comunidade da UNIFEI antes de permitir o cadastro.</t>
        </is>
      </c>
      <c r="F3" s="9" t="inlineStr">
        <is>
          <t>POST /api/auth/pre-cadastro/. Consulta a base de vínculos previamente importada. Sem correspondência, o cadastro não prossegue — é o que sustenta a promessa de acesso restrito exibida na tela de entrada.</t>
        </is>
      </c>
      <c r="G3" s="9" t="inlineStr">
        <is>
          <t>Sistema</t>
        </is>
      </c>
      <c r="H3" s="9" t="inlineStr">
        <is>
          <t>CRÍTICA</t>
        </is>
      </c>
    </row>
    <row r="4">
      <c r="A4" s="8" t="n">
        <v>3</v>
      </c>
      <c r="B4" s="8" t="inlineStr">
        <is>
          <t>RF-AUT-003</t>
        </is>
      </c>
      <c r="C4" s="8" t="inlineStr">
        <is>
          <t>Ativar conta por código</t>
        </is>
      </c>
      <c r="D4" s="8" t="inlineStr">
        <is>
          <t>Autenticação</t>
        </is>
      </c>
      <c r="E4" s="8" t="inlineStr">
        <is>
          <t>No primeiro acesso, a pessoa recebe um código por e-mail e o informa para ativar a conta e definir a senha.</t>
        </is>
      </c>
      <c r="F4" s="8" t="inlineStr">
        <is>
          <t>POST /api/auth/ativar/. Código de uso único com validade limitada, gravado com marcação de expiração. Ativa usuario.ativo e grava a senha com o hasher padrão do Django.</t>
        </is>
      </c>
      <c r="G4" s="8" t="inlineStr">
        <is>
          <t>Todos</t>
        </is>
      </c>
      <c r="H4" s="8" t="inlineStr">
        <is>
          <t>ESSENCIAL</t>
        </is>
      </c>
    </row>
    <row r="5">
      <c r="A5" s="9" t="n">
        <v>4</v>
      </c>
      <c r="B5" s="9" t="inlineStr">
        <is>
          <t>RF-AUT-004</t>
        </is>
      </c>
      <c r="C5" s="9" t="inlineStr">
        <is>
          <t>Reenviar código de ativação</t>
        </is>
      </c>
      <c r="D5" s="9" t="inlineStr">
        <is>
          <t>Autenticação</t>
        </is>
      </c>
      <c r="E5" s="9" t="inlineStr">
        <is>
          <t>A pessoa solicita novo código quando o anterior expira ou não chega.</t>
        </is>
      </c>
      <c r="F5" s="9" t="inlineStr">
        <is>
          <t>POST /api/auth/reenviar-codigo/. Invalida o código anterior antes de emitir o novo, para que dois códigos válidos nunca coexistam.</t>
        </is>
      </c>
      <c r="G5" s="9" t="inlineStr">
        <is>
          <t>Todos</t>
        </is>
      </c>
      <c r="H5" s="9" t="inlineStr">
        <is>
          <t>IMPORTANTE</t>
        </is>
      </c>
    </row>
    <row r="6">
      <c r="A6" s="8" t="n">
        <v>5</v>
      </c>
      <c r="B6" s="8" t="inlineStr">
        <is>
          <t>RF-AUT-005</t>
        </is>
      </c>
      <c r="C6" s="8" t="inlineStr">
        <is>
          <t>Renovar token de acesso</t>
        </is>
      </c>
      <c r="D6" s="8" t="inlineStr">
        <is>
          <t>Autenticação</t>
        </is>
      </c>
      <c r="E6" s="8" t="inlineStr">
        <is>
          <t>A sessão se mantém sem que a pessoa precise entrar de novo a cada expiração.</t>
        </is>
      </c>
      <c r="F6" s="8" t="inlineStr">
        <is>
          <t>POST /api/auth/refresh/. Rotaciona o token de renovação e registra o anterior na lista de negação em Redis. O frontend substitui os dois tokens: guardar o antigo derrubaria a sessão na renovação seguinte.</t>
        </is>
      </c>
      <c r="G6" s="8" t="inlineStr">
        <is>
          <t>Sistema</t>
        </is>
      </c>
      <c r="H6" s="8" t="inlineStr">
        <is>
          <t>CRÍTICA</t>
        </is>
      </c>
    </row>
    <row r="7">
      <c r="A7" s="9" t="n">
        <v>6</v>
      </c>
      <c r="B7" s="9" t="inlineStr">
        <is>
          <t>RF-AUT-006</t>
        </is>
      </c>
      <c r="C7" s="9" t="inlineStr">
        <is>
          <t>Encerrar sessão</t>
        </is>
      </c>
      <c r="D7" s="9" t="inlineStr">
        <is>
          <t>Autenticação</t>
        </is>
      </c>
      <c r="E7" s="9" t="inlineStr">
        <is>
          <t>Usuário encerra a sessão e o token deixa de valer imediatamente.</t>
        </is>
      </c>
      <c r="F7" s="9" t="inlineStr">
        <is>
          <t>POST /api/auth/logout/. Insere o token de renovação na lista de negação. Sem isso, um token vazado continuaria válido até expirar naturalmente.</t>
        </is>
      </c>
      <c r="G7" s="9" t="inlineStr">
        <is>
          <t>Todos</t>
        </is>
      </c>
      <c r="H7" s="9" t="inlineStr">
        <is>
          <t>ESSENCIAL</t>
        </is>
      </c>
    </row>
    <row r="8">
      <c r="A8" s="8" t="n">
        <v>7</v>
      </c>
      <c r="B8" s="8" t="inlineStr">
        <is>
          <t>RF-AUT-007</t>
        </is>
      </c>
      <c r="C8" s="8" t="inlineStr">
        <is>
          <t>Consultar o próprio perfil</t>
        </is>
      </c>
      <c r="D8" s="8" t="inlineStr">
        <is>
          <t>Autenticação</t>
        </is>
      </c>
      <c r="E8" s="8" t="inlineStr">
        <is>
          <t>Usuário vê seus dados, papéis e vínculos com disciplinas.</t>
        </is>
      </c>
      <c r="F8" s="8" t="inlineStr">
        <is>
          <t>GET /api/auth/me/. Devolve nome, curso, período atual derivado dos vínculos, papéis globais e a lista de disciplinas com o papel em cada uma. O período é o maior entre os vínculos, e não a média.</t>
        </is>
      </c>
      <c r="G8" s="8" t="inlineStr">
        <is>
          <t>Todos</t>
        </is>
      </c>
      <c r="H8" s="8" t="inlineStr">
        <is>
          <t>ESSENCIAL</t>
        </is>
      </c>
    </row>
    <row r="9">
      <c r="A9" s="9" t="n">
        <v>8</v>
      </c>
      <c r="B9" s="9" t="inlineStr">
        <is>
          <t>RF-AUT-008</t>
        </is>
      </c>
      <c r="C9" s="9" t="inlineStr">
        <is>
          <t>Editar o próprio perfil</t>
        </is>
      </c>
      <c r="D9" s="9" t="inlineStr">
        <is>
          <t>Autenticação</t>
        </is>
      </c>
      <c r="E9" s="9" t="inlineStr">
        <is>
          <t>Usuário altera foto, biografia, gênero e data de nascimento.</t>
        </is>
      </c>
      <c r="F9" s="9" t="inlineStr">
        <is>
          <t>PATCH /api/auth/me/. Lista explícita de campos editáveis. Nome, CPF, matrícula e vínculos são da organização e não se alteram por aqui — permitir isso quebraria a correspondência com o registro institucional.</t>
        </is>
      </c>
      <c r="G9" s="9" t="inlineStr">
        <is>
          <t>Todos</t>
        </is>
      </c>
      <c r="H9" s="9" t="inlineStr">
        <is>
          <t>IMPORTANTE</t>
        </is>
      </c>
    </row>
    <row r="10">
      <c r="A10" s="8" t="n">
        <v>9</v>
      </c>
      <c r="B10" s="8" t="inlineStr">
        <is>
          <t>RF-AUT-009</t>
        </is>
      </c>
      <c r="C10" s="8" t="inlineStr">
        <is>
          <t>Localizar usuários</t>
        </is>
      </c>
      <c r="D10" s="8" t="inlineStr">
        <is>
          <t>Autenticação</t>
        </is>
      </c>
      <c r="E10" s="8" t="inlineStr">
        <is>
          <t>Busca de pessoas por nome para atribuir papéis e montar grupos.</t>
        </is>
      </c>
      <c r="F10" s="8" t="inlineStr">
        <is>
          <t>GET /api/auth/usuarios/. Restrita a quem tem permissão de gestão na disciplina.</t>
        </is>
      </c>
      <c r="G10" s="8" t="inlineStr">
        <is>
          <t>Professor/Coordenação</t>
        </is>
      </c>
      <c r="H10" s="8" t="inlineStr">
        <is>
          <t>IMPORTANTE</t>
        </is>
      </c>
    </row>
    <row r="11">
      <c r="A11" s="9" t="n">
        <v>10</v>
      </c>
      <c r="B11" s="9" t="inlineStr">
        <is>
          <t>RF-AUT-010</t>
        </is>
      </c>
      <c r="C11" s="9" t="inlineStr">
        <is>
          <t>Exibir números públicos</t>
        </is>
      </c>
      <c r="D11" s="9" t="inlineStr">
        <is>
          <t>Autenticação</t>
        </is>
      </c>
      <c r="E11" s="9" t="inlineStr">
        <is>
          <t>A tela de entrada mostra a quantidade de estudantes, tópicos e certificados, antes de qualquer autenticação.</t>
        </is>
      </c>
      <c r="F11" s="9" t="inlineStr">
        <is>
          <t>GET /api/auth/estatisticas/. Endpoint público com contagens agregadas, sem identificar ninguém. Substituiu valores fixos escritos no código: número inventado em tela institucional é problema de credibilidade.</t>
        </is>
      </c>
      <c r="G11" s="9" t="inlineStr">
        <is>
          <t>Visitante</t>
        </is>
      </c>
      <c r="H11" s="9" t="inlineStr">
        <is>
          <t>DESEJÁVEL</t>
        </is>
      </c>
    </row>
    <row r="12">
      <c r="A12" s="8" t="n">
        <v>11</v>
      </c>
      <c r="B12" s="8" t="inlineStr">
        <is>
          <t>RF-AUT-011</t>
        </is>
      </c>
      <c r="C12" s="8" t="inlineStr">
        <is>
          <t>Cadastrar participantes em lote</t>
        </is>
      </c>
      <c r="D12" s="8" t="inlineStr">
        <is>
          <t>Autenticação</t>
        </is>
      </c>
      <c r="E12" s="8" t="inlineStr">
        <is>
          <t>A coordenação cadastra várias pessoas de uma vez, indicando o perfil de cada uma.</t>
        </is>
      </c>
      <c r="F12" s="8" t="inlineStr">
        <is>
          <t>Comando cadastrar_participantes, lendo CSV com CPF, e-mail, nome, perfil e disciplinas. A opção de conferência valida o arquivo inteiro antes de gravar qualquer linha. Não define senha: a conta nasce inativa e passa pelo primeiro acesso.</t>
        </is>
      </c>
      <c r="G12" s="8" t="inlineStr">
        <is>
          <t>Coordenação</t>
        </is>
      </c>
      <c r="H12" s="8" t="inlineStr">
        <is>
          <t>IMPORTANTE</t>
        </is>
      </c>
    </row>
    <row r="13">
      <c r="A13" s="9" t="n">
        <v>12</v>
      </c>
      <c r="B13" s="9" t="inlineStr">
        <is>
          <t>RF-FOR-001</t>
        </is>
      </c>
      <c r="C13" s="9" t="inlineStr">
        <is>
          <t>Listar disciplinas do vínculo</t>
        </is>
      </c>
      <c r="D13" s="9" t="inlineStr">
        <is>
          <t>Fórum</t>
        </is>
      </c>
      <c r="E13" s="9" t="inlineStr">
        <is>
          <t>Usuário vê as disciplinas em que está matriculado ou que leciona.</t>
        </is>
      </c>
      <c r="F13" s="9" t="inlineStr">
        <is>
          <t>GET /api/forum/disciplinas/. Filtra por vínculo ativo. A coordenação enxerga o conjunto do curso, porque acompanha sem participar.</t>
        </is>
      </c>
      <c r="G13" s="9" t="inlineStr">
        <is>
          <t>Todos</t>
        </is>
      </c>
      <c r="H13" s="9" t="inlineStr">
        <is>
          <t>ESSENCIAL</t>
        </is>
      </c>
    </row>
    <row r="14">
      <c r="A14" s="8" t="n">
        <v>13</v>
      </c>
      <c r="B14" s="8" t="inlineStr">
        <is>
          <t>RF-FOR-002</t>
        </is>
      </c>
      <c r="C14" s="8" t="inlineStr">
        <is>
          <t>Publicar dúvida na disciplina</t>
        </is>
      </c>
      <c r="D14" s="8" t="inlineStr">
        <is>
          <t>Fórum</t>
        </is>
      </c>
      <c r="E14" s="8" t="inlineStr">
        <is>
          <t>Usuário publica uma dúvida vinculada a uma disciplina específica.</t>
        </is>
      </c>
      <c r="F14" s="8" t="inlineStr">
        <is>
          <t>POST /api/forum/posts/. Exige vínculo com a disciplina. Aceita anexos, validados por tipo real e tamanho. É o vínculo entre a dúvida e a matéria que distingue a plataforma de um grupo de mensagens.</t>
        </is>
      </c>
      <c r="G14" s="8" t="inlineStr">
        <is>
          <t>Aluno/Monitor/Professor</t>
        </is>
      </c>
      <c r="H14" s="8" t="inlineStr">
        <is>
          <t>CRÍTICA</t>
        </is>
      </c>
    </row>
    <row r="15">
      <c r="A15" s="9" t="n">
        <v>14</v>
      </c>
      <c r="B15" s="9" t="inlineStr">
        <is>
          <t>RF-FOR-003</t>
        </is>
      </c>
      <c r="C15" s="9" t="inlineStr">
        <is>
          <t>Responder publicação</t>
        </is>
      </c>
      <c r="D15" s="9" t="inlineStr">
        <is>
          <t>Fórum</t>
        </is>
      </c>
      <c r="E15" s="9" t="inlineStr">
        <is>
          <t>Usuário responde a uma dúvida publicada.</t>
        </is>
      </c>
      <c r="F15" s="9" t="inlineStr">
        <is>
          <t>POST /api/forum/posts/ com post_pai preenchido. Notifica o autor da dúvida.</t>
        </is>
      </c>
      <c r="G15" s="9" t="inlineStr">
        <is>
          <t>Aluno/Monitor/Professor</t>
        </is>
      </c>
      <c r="H15" s="9" t="inlineStr">
        <is>
          <t>CRÍTICA</t>
        </is>
      </c>
    </row>
    <row r="16">
      <c r="A16" s="8" t="n">
        <v>15</v>
      </c>
      <c r="B16" s="8" t="inlineStr">
        <is>
          <t>RF-FOR-004</t>
        </is>
      </c>
      <c r="C16" s="8" t="inlineStr">
        <is>
          <t>Consultar respostas</t>
        </is>
      </c>
      <c r="D16" s="8" t="inlineStr">
        <is>
          <t>Fórum</t>
        </is>
      </c>
      <c r="E16" s="8" t="inlineStr">
        <is>
          <t>Visualização das respostas de uma dúvida, com a melhor destacada.</t>
        </is>
      </c>
      <c r="F16" s="8" t="inlineStr">
        <is>
          <t>GET /api/forum/posts/{id}/respostas/. Ordena colocando a melhor resposta primeiro e o restante por data.</t>
        </is>
      </c>
      <c r="G16" s="8" t="inlineStr">
        <is>
          <t>Todos</t>
        </is>
      </c>
      <c r="H16" s="8" t="inlineStr">
        <is>
          <t>ESSENCIAL</t>
        </is>
      </c>
    </row>
    <row r="17">
      <c r="A17" s="9" t="n">
        <v>16</v>
      </c>
      <c r="B17" s="9" t="inlineStr">
        <is>
          <t>RF-FOR-005</t>
        </is>
      </c>
      <c r="C17" s="9" t="inlineStr">
        <is>
          <t>Editar publicação própria</t>
        </is>
      </c>
      <c r="D17" s="9" t="inlineStr">
        <is>
          <t>Fórum</t>
        </is>
      </c>
      <c r="E17" s="9" t="inlineStr">
        <is>
          <t>Autor corrige o que publicou.</t>
        </is>
      </c>
      <c r="F17" s="9" t="inlineStr">
        <is>
          <t>PUT /api/forum/posts/{id}/. Verifica autoria.</t>
        </is>
      </c>
      <c r="G17" s="9" t="inlineStr">
        <is>
          <t>Autor</t>
        </is>
      </c>
      <c r="H17" s="9" t="inlineStr">
        <is>
          <t>IMPORTANTE</t>
        </is>
      </c>
    </row>
    <row r="18">
      <c r="A18" s="8" t="n">
        <v>17</v>
      </c>
      <c r="B18" s="8" t="inlineStr">
        <is>
          <t>RF-FOR-006</t>
        </is>
      </c>
      <c r="C18" s="8" t="inlineStr">
        <is>
          <t>Remover publicação</t>
        </is>
      </c>
      <c r="D18" s="8" t="inlineStr">
        <is>
          <t>Fórum</t>
        </is>
      </c>
      <c r="E18" s="8" t="inlineStr">
        <is>
          <t>Autor ou moderação remove uma publicação sem destruir o histórico.</t>
        </is>
      </c>
      <c r="F18" s="8" t="inlineStr">
        <is>
          <t>DELETE /api/forum/posts/{id}/. Exclusão lógica por deleted_at. O registro permanece para auditoria e para manter a integridade das respostas que dependiam dele.</t>
        </is>
      </c>
      <c r="G18" s="8" t="inlineStr">
        <is>
          <t>Autor/Moderação</t>
        </is>
      </c>
      <c r="H18" s="8" t="inlineStr">
        <is>
          <t>IMPORTANTE</t>
        </is>
      </c>
    </row>
    <row r="19">
      <c r="A19" s="9" t="n">
        <v>18</v>
      </c>
      <c r="B19" s="9" t="inlineStr">
        <is>
          <t>RF-FOR-007</t>
        </is>
      </c>
      <c r="C19" s="9" t="inlineStr">
        <is>
          <t>Registrar visualização</t>
        </is>
      </c>
      <c r="D19" s="9" t="inlineStr">
        <is>
          <t>Fórum</t>
        </is>
      </c>
      <c r="E19" s="9" t="inlineStr">
        <is>
          <t>Sistema conta quantas vezes uma dúvida foi aberta.</t>
        </is>
      </c>
      <c r="F19" s="9" t="inlineStr">
        <is>
          <t>POST /api/forum/posts/{id}/visualizar/. Alimenta o painel de coordenação, que usa a razão entre visualizações e respostas para identificar dúvida muito vista e pouco respondida.</t>
        </is>
      </c>
      <c r="G19" s="9" t="inlineStr">
        <is>
          <t>Sistema</t>
        </is>
      </c>
      <c r="H19" s="9" t="inlineStr">
        <is>
          <t>IMPORTANTE</t>
        </is>
      </c>
    </row>
    <row r="20">
      <c r="A20" s="8" t="n">
        <v>19</v>
      </c>
      <c r="B20" s="8" t="inlineStr">
        <is>
          <t>RF-FOR-008</t>
        </is>
      </c>
      <c r="C20" s="8" t="inlineStr">
        <is>
          <t>Votar em resposta</t>
        </is>
      </c>
      <c r="D20" s="8" t="inlineStr">
        <is>
          <t>Fórum</t>
        </is>
      </c>
      <c r="E20" s="8" t="inlineStr">
        <is>
          <t>Usuário indica que uma resposta ajudou.</t>
        </is>
      </c>
      <c r="F20" s="8" t="inlineStr">
        <is>
          <t>POST e DELETE /api/forum/posts/{id}/votar/. Restrição de unicidade por par usuário e publicação. O autor não vota na própria resposta.</t>
        </is>
      </c>
      <c r="G20" s="8" t="inlineStr">
        <is>
          <t>Aluno/Monitor/Professor</t>
        </is>
      </c>
      <c r="H20" s="8" t="inlineStr">
        <is>
          <t>IMPORTANTE</t>
        </is>
      </c>
    </row>
    <row r="21">
      <c r="A21" s="9" t="n">
        <v>20</v>
      </c>
      <c r="B21" s="9" t="inlineStr">
        <is>
          <t>RF-FOR-009</t>
        </is>
      </c>
      <c r="C21" s="9" t="inlineStr">
        <is>
          <t>Reagir a resposta</t>
        </is>
      </c>
      <c r="D21" s="9" t="inlineStr">
        <is>
          <t>Fórum</t>
        </is>
      </c>
      <c r="E21" s="9" t="inlineStr">
        <is>
          <t>Reação rápida a uma resposta, sem escrever.</t>
        </is>
      </c>
      <c r="F21" s="9" t="inlineStr">
        <is>
          <t>POST e DELETE /api/forum/posts/{id}/reagir-persiste/. Válida apenas em respostas, não em dúvidas.</t>
        </is>
      </c>
      <c r="G21" s="9" t="inlineStr">
        <is>
          <t>Aluno/Monitor/Professor</t>
        </is>
      </c>
      <c r="H21" s="9" t="inlineStr">
        <is>
          <t>DESEJÁVEL</t>
        </is>
      </c>
    </row>
    <row r="22">
      <c r="A22" s="8" t="n">
        <v>21</v>
      </c>
      <c r="B22" s="8" t="inlineStr">
        <is>
          <t>RF-FOR-010</t>
        </is>
      </c>
      <c r="C22" s="8" t="inlineStr">
        <is>
          <t>Marcar melhor resposta</t>
        </is>
      </c>
      <c r="D22" s="8" t="inlineStr">
        <is>
          <t>Fórum</t>
        </is>
      </c>
      <c r="E22" s="8" t="inlineStr">
        <is>
          <t>Autor da dúvida ou quem conduz a turma marca a resposta que resolveu.</t>
        </is>
      </c>
      <c r="F22" s="8" t="inlineStr">
        <is>
          <t>POST e DELETE /api/forum/posts/{id}/marcar-melhor/. Única por dúvida. É a única forma de reconhecimento que sobrou no projeto, e serve a quem consulta o tópico depois.</t>
        </is>
      </c>
      <c r="G22" s="8" t="inlineStr">
        <is>
          <t>Autor/Professor/Monitor</t>
        </is>
      </c>
      <c r="H22" s="8" t="inlineStr">
        <is>
          <t>ESSENCIAL</t>
        </is>
      </c>
    </row>
    <row r="23">
      <c r="A23" s="9" t="n">
        <v>22</v>
      </c>
      <c r="B23" s="9" t="inlineStr">
        <is>
          <t>RF-FOR-011</t>
        </is>
      </c>
      <c r="C23" s="9" t="inlineStr">
        <is>
          <t>Anexar arquivo à publicação</t>
        </is>
      </c>
      <c r="D23" s="9" t="inlineStr">
        <is>
          <t>Fórum</t>
        </is>
      </c>
      <c r="E23" s="9" t="inlineStr">
        <is>
          <t>Usuário anexa documento ou imagem à dúvida ou resposta.</t>
        </is>
      </c>
      <c r="F23" s="9" t="inlineStr">
        <is>
          <t>POST /api/forum/arquivos/. Verifica o tipo real pela assinatura do arquivo, e não pela extensão, com python-magic. Limite de tamanho e lista de tipos aceitos aplicados no servidor.</t>
        </is>
      </c>
      <c r="G23" s="9" t="inlineStr">
        <is>
          <t>Aluno/Monitor/Professor</t>
        </is>
      </c>
      <c r="H23" s="9" t="inlineStr">
        <is>
          <t>IMPORTANTE</t>
        </is>
      </c>
    </row>
    <row r="24">
      <c r="A24" s="8" t="n">
        <v>23</v>
      </c>
      <c r="B24" s="8" t="inlineStr">
        <is>
          <t>RF-FOR-012</t>
        </is>
      </c>
      <c r="C24" s="8" t="inlineStr">
        <is>
          <t>Denunciar conteúdo</t>
        </is>
      </c>
      <c r="D24" s="8" t="inlineStr">
        <is>
          <t>Fórum</t>
        </is>
      </c>
      <c r="E24" s="8" t="inlineStr">
        <is>
          <t>Usuário sinaliza conteúdo inadequado para análise da moderação.</t>
        </is>
      </c>
      <c r="F24" s="8" t="inlineStr">
        <is>
          <t>POST /api/forum/posts/{id}/denunciar/. Cria alerta com motivo e notifica quem modera a disciplina. Na interface, o botão Denunciar aparece no tópico e em cada resposta, abre um campo de motivo obrigatório e passa a indicar "Denúncia enviada" depois do envio. Não é oferecido ao autor do conteúdo, e a API recusa denúncia repetida enquanto a anterior estiver em análise.</t>
        </is>
      </c>
      <c r="G24" s="8" t="inlineStr">
        <is>
          <t>Todos</t>
        </is>
      </c>
      <c r="H24" s="8" t="inlineStr">
        <is>
          <t>ESSENCIAL</t>
        </is>
      </c>
    </row>
    <row r="25">
      <c r="A25" s="9" t="n">
        <v>24</v>
      </c>
      <c r="B25" s="9" t="inlineStr">
        <is>
          <t>RF-FOR-013</t>
        </is>
      </c>
      <c r="C25" s="9" t="inlineStr">
        <is>
          <t>Assumir análise de denúncia</t>
        </is>
      </c>
      <c r="D25" s="9" t="inlineStr">
        <is>
          <t>Fórum</t>
        </is>
      </c>
      <c r="E25" s="9" t="inlineStr">
        <is>
          <t>Moderador assume a denúncia, evitando análise duplicada.</t>
        </is>
      </c>
      <c r="F25" s="9" t="inlineStr">
        <is>
          <t>POST /api/forum/alertas/{id}/assumir/. Registra o responsável e muda a situação para em análise.</t>
        </is>
      </c>
      <c r="G25" s="9" t="inlineStr">
        <is>
          <t>Moderação</t>
        </is>
      </c>
      <c r="H25" s="9" t="inlineStr">
        <is>
          <t>IMPORTANTE</t>
        </is>
      </c>
    </row>
    <row r="26">
      <c r="A26" s="8" t="n">
        <v>25</v>
      </c>
      <c r="B26" s="8" t="inlineStr">
        <is>
          <t>RF-FOR-014</t>
        </is>
      </c>
      <c r="C26" s="8" t="inlineStr">
        <is>
          <t>Resolver denúncia</t>
        </is>
      </c>
      <c r="D26" s="8" t="inlineStr">
        <is>
          <t>Fórum</t>
        </is>
      </c>
      <c r="E26" s="8" t="inlineStr">
        <is>
          <t>Moderador conclui a análise registrando a decisão.</t>
        </is>
      </c>
      <c r="F26" s="8" t="inlineStr">
        <is>
          <t>POST /api/forum/alertas/{id}/resolver/. Guarda a decisão e a justificativa, e notifica quem denunciou.</t>
        </is>
      </c>
      <c r="G26" s="8" t="inlineStr">
        <is>
          <t>Moderação</t>
        </is>
      </c>
      <c r="H26" s="8" t="inlineStr">
        <is>
          <t>ESSENCIAL</t>
        </is>
      </c>
    </row>
    <row r="27">
      <c r="A27" s="9" t="n">
        <v>26</v>
      </c>
      <c r="B27" s="9" t="inlineStr">
        <is>
          <t>RF-FOR-015</t>
        </is>
      </c>
      <c r="C27" s="9" t="inlineStr">
        <is>
          <t>Restringir publicação</t>
        </is>
      </c>
      <c r="D27" s="9" t="inlineStr">
        <is>
          <t>Fórum</t>
        </is>
      </c>
      <c r="E27" s="9" t="inlineStr">
        <is>
          <t>Quem conduz a turma retira uma publicação de circulação por decisão pedagógica, informando o motivo.</t>
        </is>
      </c>
      <c r="F27" s="9" t="inlineStr">
        <is>
          <t>POST e DELETE /api/forum/posts/{id}/restringir/. Motivo obrigatório e comunicado ao autor. O autor continua vendo a própria publicação; os colegas, não. Distinta da denúncia: não pressupõe infração, e serve ao caso da resposta que entrega o exercício pronto.</t>
        </is>
      </c>
      <c r="G27" s="9" t="inlineStr">
        <is>
          <t>Professor/Monitor</t>
        </is>
      </c>
      <c r="H27" s="9" t="inlineStr">
        <is>
          <t>ESSENCIAL</t>
        </is>
      </c>
    </row>
    <row r="28">
      <c r="A28" s="8" t="n">
        <v>27</v>
      </c>
      <c r="B28" s="8" t="inlineStr">
        <is>
          <t>RF-FOR-016</t>
        </is>
      </c>
      <c r="C28" s="8" t="inlineStr">
        <is>
          <t>Gerir vínculos com disciplina</t>
        </is>
      </c>
      <c r="D28" s="8" t="inlineStr">
        <is>
          <t>Fórum</t>
        </is>
      </c>
      <c r="E28" s="8" t="inlineStr">
        <is>
          <t>Professor ou coordenação atribui papéis de aluno, monitor e professor.</t>
        </is>
      </c>
      <c r="F28" s="8" t="inlineStr">
        <is>
          <t>API de permissões, com restrição de um papel por pessoa e disciplina, garantida no banco.</t>
        </is>
      </c>
      <c r="G28" s="8" t="inlineStr">
        <is>
          <t>Professor/Coordenação</t>
        </is>
      </c>
      <c r="H28" s="8" t="inlineStr">
        <is>
          <t>ESSENCIAL</t>
        </is>
      </c>
    </row>
    <row r="29">
      <c r="A29" s="9" t="n">
        <v>28</v>
      </c>
      <c r="B29" s="9" t="inlineStr">
        <is>
          <t>RF-FOR-017</t>
        </is>
      </c>
      <c r="C29" s="9" t="inlineStr">
        <is>
          <t>Promover aluno a monitor</t>
        </is>
      </c>
      <c r="D29" s="9" t="inlineStr">
        <is>
          <t>Fórum</t>
        </is>
      </c>
      <c r="E29" s="9" t="inlineStr">
        <is>
          <t>Professor eleva um aluno da turma à condição de monitor.</t>
        </is>
      </c>
      <c r="F29" s="9" t="inlineStr">
        <is>
          <t>Troca o papel do vínculo existente. O monitor continua sendo estudante: mantém tudo que tinha e ganha a fila de monitoria.</t>
        </is>
      </c>
      <c r="G29" s="9" t="inlineStr">
        <is>
          <t>Professor</t>
        </is>
      </c>
      <c r="H29" s="9" t="inlineStr">
        <is>
          <t>IMPORTANTE</t>
        </is>
      </c>
    </row>
    <row r="30">
      <c r="A30" s="8" t="n">
        <v>29</v>
      </c>
      <c r="B30" s="8" t="inlineStr">
        <is>
          <t>RF-FOR-018</t>
        </is>
      </c>
      <c r="C30" s="8" t="inlineStr">
        <is>
          <t>Acompanhar percurso por disciplina</t>
        </is>
      </c>
      <c r="D30" s="8" t="inlineStr">
        <is>
          <t>Fórum</t>
        </is>
      </c>
      <c r="E30" s="8" t="inlineStr">
        <is>
          <t>Usuário vê quantas dúvidas publicou, quantas respondeu e quantas respostas ajudaram, separado por matéria.</t>
        </is>
      </c>
      <c r="F30" s="8" t="inlineStr">
        <is>
          <t>GET /api/forum/andamento/. Agrega por disciplina.</t>
        </is>
      </c>
      <c r="G30" s="8" t="inlineStr">
        <is>
          <t>Aluno/Monitor</t>
        </is>
      </c>
      <c r="H30" s="8" t="inlineStr">
        <is>
          <t>IMPORTANTE</t>
        </is>
      </c>
    </row>
    <row r="31">
      <c r="A31" s="9" t="n">
        <v>30</v>
      </c>
      <c r="B31" s="9" t="inlineStr">
        <is>
          <t>RF-FOR-019</t>
        </is>
      </c>
      <c r="C31" s="9" t="inlineStr">
        <is>
          <t>Buscar no fórum</t>
        </is>
      </c>
      <c r="D31" s="9" t="inlineStr">
        <is>
          <t>Fórum</t>
        </is>
      </c>
      <c r="E31" s="9" t="inlineStr">
        <is>
          <t>Usuário descreve a dúvida com as próprias palavras e encontra discussões relacionadas, mesmo sem acertar os termos exatos.</t>
        </is>
      </c>
      <c r="F31" s="9" t="inlineStr">
        <is>
          <t>GET /api/busca/. Dois modos. Semântico: compara vetores de 384 dimensões por distância de cosseno em pgvector, com modelo multilíngue. Textual: correspondência de termos. A resposta informa qual modo foi usado, e a queda para o textual é automática quando o modelo não está disponível.</t>
        </is>
      </c>
      <c r="G31" s="9" t="inlineStr">
        <is>
          <t>Todos</t>
        </is>
      </c>
      <c r="H31" s="9" t="inlineStr">
        <is>
          <t>IMPORTANTE</t>
        </is>
      </c>
    </row>
    <row r="32">
      <c r="A32" s="8" t="n">
        <v>31</v>
      </c>
      <c r="B32" s="8" t="inlineStr">
        <is>
          <t>RF-FOR-020</t>
        </is>
      </c>
      <c r="C32" s="8" t="inlineStr">
        <is>
          <t>Listar cursos cadastrados</t>
        </is>
      </c>
      <c r="D32" s="8" t="inlineStr">
        <is>
          <t>Fórum</t>
        </is>
      </c>
      <c r="E32" s="8" t="inlineStr">
        <is>
          <t>A plataforma reconhece mais de um curso, cada um com sua matriz.</t>
        </is>
      </c>
      <c r="F32" s="8" t="inlineStr">
        <is>
          <t>GET /api/forum/cursos/. O modelo separa curso de disciplina para que a plataforma não fique presa a um único curso.</t>
        </is>
      </c>
      <c r="G32" s="8" t="inlineStr">
        <is>
          <t>Coordenação</t>
        </is>
      </c>
      <c r="H32" s="8" t="inlineStr">
        <is>
          <t>IMPORTANTE</t>
        </is>
      </c>
    </row>
    <row r="33">
      <c r="A33" s="9" t="n">
        <v>32</v>
      </c>
      <c r="B33" s="9" t="inlineStr">
        <is>
          <t>RF-FOR-021</t>
        </is>
      </c>
      <c r="C33" s="9" t="inlineStr">
        <is>
          <t>Filtrar e ordenar publicações</t>
        </is>
      </c>
      <c r="D33" s="9" t="inlineStr">
        <is>
          <t>Fórum</t>
        </is>
      </c>
      <c r="E33" s="9" t="inlineStr">
        <is>
          <t>Usuário restringe a lista por disciplina e por situação, e escolhe a ordem.</t>
        </is>
      </c>
      <c r="F33" s="9" t="inlineStr">
        <is>
          <t>Parâmetros de consulta em GET /api/forum/posts/. Combináveis entre si e com a paginação.</t>
        </is>
      </c>
      <c r="G33" s="9" t="inlineStr">
        <is>
          <t>Todos</t>
        </is>
      </c>
      <c r="H33" s="9" t="inlineStr">
        <is>
          <t>IMPORTANTE</t>
        </is>
      </c>
    </row>
    <row r="34">
      <c r="A34" s="8" t="n">
        <v>33</v>
      </c>
      <c r="B34" s="8" t="inlineStr">
        <is>
          <t>RF-FOR-022</t>
        </is>
      </c>
      <c r="C34" s="8" t="inlineStr">
        <is>
          <t>Consultar anexos de uma publicação</t>
        </is>
      </c>
      <c r="D34" s="8" t="inlineStr">
        <is>
          <t>Fórum</t>
        </is>
      </c>
      <c r="E34" s="8" t="inlineStr">
        <is>
          <t>Usuário vê e baixa os arquivos anexados a uma dúvida.</t>
        </is>
      </c>
      <c r="F34" s="8" t="inlineStr">
        <is>
          <t>GET /api/forum/posts/{id}/arquivos/.</t>
        </is>
      </c>
      <c r="G34" s="8" t="inlineStr">
        <is>
          <t>Todos</t>
        </is>
      </c>
      <c r="H34" s="8" t="inlineStr">
        <is>
          <t>IMPORTANTE</t>
        </is>
      </c>
    </row>
    <row r="35">
      <c r="A35" s="9" t="n">
        <v>34</v>
      </c>
      <c r="B35" s="9" t="inlineStr">
        <is>
          <t>RF-FOR-023</t>
        </is>
      </c>
      <c r="C35" s="9" t="inlineStr">
        <is>
          <t>Sugerir dúvidas parecidas antes de publicar</t>
        </is>
      </c>
      <c r="D35" s="9" t="inlineStr">
        <is>
          <t>Fórum</t>
        </is>
      </c>
      <c r="E35" s="9" t="inlineStr">
        <is>
          <t>Ao escrever o título de uma nova dúvida, o aluno vê discussões semelhantes já existentes na disciplina e pode consultá-las antes de publicar.</t>
        </is>
      </c>
      <c r="F35" s="9" t="inlineStr">
        <is>
          <t>Tela de nova dúvida consulta GET /api/busca/ com a disciplina escolhida, até 5 resultados, 500 ms depois da última tecla e com título de ao menos 4 caracteres. Resultados repetidos do mesmo tópico são agrupados e os links abrem em outra aba, para não perder o texto digitado. Não é exibido a quem leciona, que publica avisos e material.</t>
        </is>
      </c>
      <c r="G35" s="9" t="inlineStr">
        <is>
          <t>Aluno/Monitor</t>
        </is>
      </c>
      <c r="H35" s="9" t="inlineStr">
        <is>
          <t>IMPORTANTE</t>
        </is>
      </c>
    </row>
    <row r="36">
      <c r="A36" s="8" t="n">
        <v>35</v>
      </c>
      <c r="B36" s="8" t="inlineStr">
        <is>
          <t>RF-COL-001</t>
        </is>
      </c>
      <c r="C36" s="8" t="inlineStr">
        <is>
          <t>Propor trabalho em grupo</t>
        </is>
      </c>
      <c r="D36" s="8" t="inlineStr">
        <is>
          <t>Colaboração</t>
        </is>
      </c>
      <c r="E36" s="8" t="inlineStr">
        <is>
          <t>Professor cria um trabalho definindo quantidade de grupos, tamanho máximo, prazo e forma de montagem.</t>
        </is>
      </c>
      <c r="F36" s="8" t="inlineStr">
        <is>
          <t>POST /api/colaboracao/trabalhos/. Exige que a pessoa lecione a disciplina — a coordenação não passa nesta verificação, porque supervisionar não é participar da turma.</t>
        </is>
      </c>
      <c r="G36" s="8" t="inlineStr">
        <is>
          <t>Professor/Monitor</t>
        </is>
      </c>
      <c r="H36" s="8" t="inlineStr">
        <is>
          <t>CRÍTICA</t>
        </is>
      </c>
    </row>
    <row r="37">
      <c r="A37" s="9" t="n">
        <v>36</v>
      </c>
      <c r="B37" s="9" t="inlineStr">
        <is>
          <t>RF-COL-002</t>
        </is>
      </c>
      <c r="C37" s="9" t="inlineStr">
        <is>
          <t>Anexar material ao enunciado</t>
        </is>
      </c>
      <c r="D37" s="9" t="inlineStr">
        <is>
          <t>Colaboração</t>
        </is>
      </c>
      <c r="E37" s="9" t="inlineStr">
        <is>
          <t>Professor anexa a especificação, a base de dados e o esqueleto de código ao próprio trabalho.</t>
        </is>
      </c>
      <c r="F37" s="9" t="inlineStr">
        <is>
          <t>POST /api/colaboracao/trabalhos/{id}/anexar/ e remoção correspondente. Lista de tipos aceitos e limite de tamanho no servidor. Fica no trabalho, e não no grupo: é material da turma inteira. Sem este espaço, o professor distribuiria por outro canal e o enunciado ficaria separado dos arquivos.</t>
        </is>
      </c>
      <c r="G37" s="9" t="inlineStr">
        <is>
          <t>Professor/Monitor</t>
        </is>
      </c>
      <c r="H37" s="9" t="inlineStr">
        <is>
          <t>ESSENCIAL</t>
        </is>
      </c>
    </row>
    <row r="38">
      <c r="A38" s="8" t="n">
        <v>37</v>
      </c>
      <c r="B38" s="8" t="inlineStr">
        <is>
          <t>RF-COL-003</t>
        </is>
      </c>
      <c r="C38" s="8" t="inlineStr">
        <is>
          <t>Criar grupos vazios</t>
        </is>
      </c>
      <c r="D38" s="8" t="inlineStr">
        <is>
          <t>Colaboração</t>
        </is>
      </c>
      <c r="E38" s="8" t="inlineStr">
        <is>
          <t>Sistema gera os grupos previstos para que os alunos escolham onde entrar.</t>
        </is>
      </c>
      <c r="F38" s="8" t="inlineStr">
        <is>
          <t>POST /api/colaboracao/trabalhos/{id}/criar-grupos/. Cria a conversa privada de cada grupo junto.</t>
        </is>
      </c>
      <c r="G38" s="8" t="inlineStr">
        <is>
          <t>Professor/Monitor</t>
        </is>
      </c>
      <c r="H38" s="8" t="inlineStr">
        <is>
          <t>ESSENCIAL</t>
        </is>
      </c>
    </row>
    <row r="39">
      <c r="A39" s="9" t="n">
        <v>38</v>
      </c>
      <c r="B39" s="9" t="inlineStr">
        <is>
          <t>RF-COL-004</t>
        </is>
      </c>
      <c r="C39" s="9" t="inlineStr">
        <is>
          <t>Sortear a composição dos grupos</t>
        </is>
      </c>
      <c r="D39" s="9" t="inlineStr">
        <is>
          <t>Colaboração</t>
        </is>
      </c>
      <c r="E39" s="9" t="inlineStr">
        <is>
          <t>Distribuição aleatória dos matriculados entre os grupos.</t>
        </is>
      </c>
      <c r="F39" s="9" t="inlineStr">
        <is>
          <t>POST /api/colaboracao/trabalhos/{id}/sortear/. Respeita o tamanho máximo e sincroniza os participantes das conversas.</t>
        </is>
      </c>
      <c r="G39" s="9" t="inlineStr">
        <is>
          <t>Professor/Monitor</t>
        </is>
      </c>
      <c r="H39" s="9" t="inlineStr">
        <is>
          <t>IMPORTANTE</t>
        </is>
      </c>
    </row>
    <row r="40">
      <c r="A40" s="8" t="n">
        <v>39</v>
      </c>
      <c r="B40" s="8" t="inlineStr">
        <is>
          <t>RF-COL-005</t>
        </is>
      </c>
      <c r="C40" s="8" t="inlineStr">
        <is>
          <t>Entrar em grupo</t>
        </is>
      </c>
      <c r="D40" s="8" t="inlineStr">
        <is>
          <t>Colaboração</t>
        </is>
      </c>
      <c r="E40" s="8" t="inlineStr">
        <is>
          <t>Aluno escolhe o grupo de que quer participar.</t>
        </is>
      </c>
      <c r="F40" s="8" t="inlineStr">
        <is>
          <t>POST /api/colaboracao/grupos/{id}/entrar/. Recusa se o grupo estiver cheio ou se a pessoa já estiver em outro grupo do mesmo trabalho. Insere na conversa do grupo.</t>
        </is>
      </c>
      <c r="G40" s="8" t="inlineStr">
        <is>
          <t>Aluno</t>
        </is>
      </c>
      <c r="H40" s="8" t="inlineStr">
        <is>
          <t>ESSENCIAL</t>
        </is>
      </c>
    </row>
    <row r="41">
      <c r="A41" s="9" t="n">
        <v>40</v>
      </c>
      <c r="B41" s="9" t="inlineStr">
        <is>
          <t>RF-COL-006</t>
        </is>
      </c>
      <c r="C41" s="9" t="inlineStr">
        <is>
          <t>Sair de grupo</t>
        </is>
      </c>
      <c r="D41" s="9" t="inlineStr">
        <is>
          <t>Colaboração</t>
        </is>
      </c>
      <c r="E41" s="9" t="inlineStr">
        <is>
          <t>Aluno deixa o grupo, com confirmação antes.</t>
        </is>
      </c>
      <c r="F41" s="9" t="inlineStr">
        <is>
          <t>POST /api/colaboracao/grupos/{id}/sair/. Remove da conversa e atualiza a contagem de participantes.</t>
        </is>
      </c>
      <c r="G41" s="9" t="inlineStr">
        <is>
          <t>Aluno</t>
        </is>
      </c>
      <c r="H41" s="9" t="inlineStr">
        <is>
          <t>IMPORTANTE</t>
        </is>
      </c>
    </row>
    <row r="42">
      <c r="A42" s="8" t="n">
        <v>41</v>
      </c>
      <c r="B42" s="8" t="inlineStr">
        <is>
          <t>RF-COL-007</t>
        </is>
      </c>
      <c r="C42" s="8" t="inlineStr">
        <is>
          <t>Definir responsável pelo grupo</t>
        </is>
      </c>
      <c r="D42" s="8" t="inlineStr">
        <is>
          <t>Colaboração</t>
        </is>
      </c>
      <c r="E42" s="8" t="inlineStr">
        <is>
          <t>O grupo indica quem responde por ele.</t>
        </is>
      </c>
      <c r="F42" s="8" t="inlineStr">
        <is>
          <t>POST /api/colaboracao/grupos/{id}/definir-lider/.</t>
        </is>
      </c>
      <c r="G42" s="8" t="inlineStr">
        <is>
          <t>Aluno/Professor</t>
        </is>
      </c>
      <c r="H42" s="8" t="inlineStr">
        <is>
          <t>DESEJÁVEL</t>
        </is>
      </c>
    </row>
    <row r="43">
      <c r="A43" s="9" t="n">
        <v>42</v>
      </c>
      <c r="B43" s="9" t="inlineStr">
        <is>
          <t>RF-COL-008</t>
        </is>
      </c>
      <c r="C43" s="9" t="inlineStr">
        <is>
          <t>Conversar em tempo real no grupo</t>
        </is>
      </c>
      <c r="D43" s="9" t="inlineStr">
        <is>
          <t>Colaboração</t>
        </is>
      </c>
      <c r="E43" s="9" t="inlineStr">
        <is>
          <t>Os integrantes trocam mensagens, imagens, documentos e áudio no espaço privado do grupo.</t>
        </is>
      </c>
      <c r="F43" s="9" t="inlineStr">
        <is>
          <t>GET e POST /api/colaboracao/conversas/{id}/mensagens/, com entrega imediata por WebSocket via Django Channels. A conversa é privada aos integrantes, inclusive em relação ao professor. É a decisão que sustenta o módulo: sem privacidade, os grupos migram para aplicativos externos e o material se perde no fim do semestre.</t>
        </is>
      </c>
      <c r="G43" s="9" t="inlineStr">
        <is>
          <t>Aluno</t>
        </is>
      </c>
      <c r="H43" s="9" t="inlineStr">
        <is>
          <t>CRÍTICA</t>
        </is>
      </c>
    </row>
    <row r="44">
      <c r="A44" s="8" t="n">
        <v>43</v>
      </c>
      <c r="B44" s="8" t="inlineStr">
        <is>
          <t>RF-COL-009</t>
        </is>
      </c>
      <c r="C44" s="8" t="inlineStr">
        <is>
          <t>Excluir mensagem enviada</t>
        </is>
      </c>
      <c r="D44" s="8" t="inlineStr">
        <is>
          <t>Colaboração</t>
        </is>
      </c>
      <c r="E44" s="8" t="inlineStr">
        <is>
          <t>Autor apaga uma mensagem dentro de um prazo curto após o envio.</t>
        </is>
      </c>
      <c r="F44" s="8" t="inlineStr">
        <is>
          <t>DELETE /api/colaboracao/mensagens/{id}/. Janela de três minutos, verificação de autoria e exclusão lógica. Recusa se a mensagem já tiver originado um pedido de ajuda, para não apagar o que já foi encaminhado a terceiros. Anuncia a exclusão aos demais pelo WebSocket.</t>
        </is>
      </c>
      <c r="G44" s="8" t="inlineStr">
        <is>
          <t>Autor</t>
        </is>
      </c>
      <c r="H44" s="8" t="inlineStr">
        <is>
          <t>IMPORTANTE</t>
        </is>
      </c>
    </row>
    <row r="45">
      <c r="A45" s="9" t="n">
        <v>44</v>
      </c>
      <c r="B45" s="9" t="inlineStr">
        <is>
          <t>RF-COL-010</t>
        </is>
      </c>
      <c r="C45" s="9" t="inlineStr">
        <is>
          <t>Registrar leitura da conversa</t>
        </is>
      </c>
      <c r="D45" s="9" t="inlineStr">
        <is>
          <t>Colaboração</t>
        </is>
      </c>
      <c r="E45" s="9" t="inlineStr">
        <is>
          <t>O contador de mensagens não lidas zera quando a pessoa abre a conversa.</t>
        </is>
      </c>
      <c r="F45" s="9" t="inlineStr">
        <is>
          <t>POST /api/colaboracao/conversas/{id}/marcar-lida/. O marcador fica no participante, e não na mensagem: guardar um registro por mensagem e por pessoa inviabilizaria qualquer conversa ativa.</t>
        </is>
      </c>
      <c r="G45" s="9" t="inlineStr">
        <is>
          <t>Aluno</t>
        </is>
      </c>
      <c r="H45" s="9" t="inlineStr">
        <is>
          <t>IMPORTANTE</t>
        </is>
      </c>
    </row>
    <row r="46">
      <c r="A46" s="8" t="n">
        <v>45</v>
      </c>
      <c r="B46" s="8" t="inlineStr">
        <is>
          <t>RF-COL-011</t>
        </is>
      </c>
      <c r="C46" s="8" t="inlineStr">
        <is>
          <t>Encaminhar dúvida do grupo</t>
        </is>
      </c>
      <c r="D46" s="8" t="inlineStr">
        <is>
          <t>Colaboração</t>
        </is>
      </c>
      <c r="E46" s="8" t="inlineStr">
        <is>
          <t>O grupo marca uma mensagem e a encaminha a quem conduz a turma, com uma descrição do problema.</t>
        </is>
      </c>
      <c r="F46" s="8" t="inlineStr">
        <is>
          <t>POST /api/colaboracao/conversas/{id}/pedir-ajuda/. O destino é decidido pelo sistema: monitoria quando a disciplina tem monitor, professor quando não tem. Só a mensagem marcada e a descrição atravessam — a conversa em volta continua invisível.</t>
        </is>
      </c>
      <c r="G46" s="8" t="inlineStr">
        <is>
          <t>Aluno</t>
        </is>
      </c>
      <c r="H46" s="8" t="inlineStr">
        <is>
          <t>ESSENCIAL</t>
        </is>
      </c>
    </row>
    <row r="47">
      <c r="A47" s="9" t="n">
        <v>46</v>
      </c>
      <c r="B47" s="9" t="inlineStr">
        <is>
          <t>RF-COL-012</t>
        </is>
      </c>
      <c r="C47" s="9" t="inlineStr">
        <is>
          <t>Assumir pedido de ajuda</t>
        </is>
      </c>
      <c r="D47" s="9" t="inlineStr">
        <is>
          <t>Colaboração</t>
        </is>
      </c>
      <c r="E47" s="9" t="inlineStr">
        <is>
          <t>Monitor ou professor assume o atendimento.</t>
        </is>
      </c>
      <c r="F47" s="9" t="inlineStr">
        <is>
          <t>POST /api/colaboracao/ajuda/{id}/assumir/. Evita que dois atendam o mesmo pedido.</t>
        </is>
      </c>
      <c r="G47" s="9" t="inlineStr">
        <is>
          <t>Monitor/Professor</t>
        </is>
      </c>
      <c r="H47" s="9" t="inlineStr">
        <is>
          <t>IMPORTANTE</t>
        </is>
      </c>
    </row>
    <row r="48">
      <c r="A48" s="8" t="n">
        <v>47</v>
      </c>
      <c r="B48" s="8" t="inlineStr">
        <is>
          <t>RF-COL-013</t>
        </is>
      </c>
      <c r="C48" s="8" t="inlineStr">
        <is>
          <t>Responder pedido de ajuda</t>
        </is>
      </c>
      <c r="D48" s="8" t="inlineStr">
        <is>
          <t>Colaboração</t>
        </is>
      </c>
      <c r="E48" s="8" t="inlineStr">
        <is>
          <t>Quem assumiu responde e a resposta chega ao grupo.</t>
        </is>
      </c>
      <c r="F48" s="8" t="inlineStr">
        <is>
          <t>POST /api/colaboracao/ajuda/{id}/responder/. Registra a resposta e notifica os integrantes.</t>
        </is>
      </c>
      <c r="G48" s="8" t="inlineStr">
        <is>
          <t>Monitor/Professor</t>
        </is>
      </c>
      <c r="H48" s="8" t="inlineStr">
        <is>
          <t>ESSENCIAL</t>
        </is>
      </c>
    </row>
    <row r="49">
      <c r="A49" s="9" t="n">
        <v>48</v>
      </c>
      <c r="B49" s="9" t="inlineStr">
        <is>
          <t>RF-COL-014</t>
        </is>
      </c>
      <c r="C49" s="9" t="inlineStr">
        <is>
          <t>Reunir arquivos por disciplina</t>
        </is>
      </c>
      <c r="D49" s="9" t="inlineStr">
        <is>
          <t>Colaboração</t>
        </is>
      </c>
      <c r="E49" s="9" t="inlineStr">
        <is>
          <t>Usuário encontra num lugar só todo o material que passou por ele, separado por matéria.</t>
        </is>
      </c>
      <c r="F49" s="9" t="inlineStr">
        <is>
          <t>GET /api/colaboracao/arquivos/. Reúne três origens: anexo de conversa, material de trabalho e anexo de publicação. Sem modelo novo e sem cópia: a consulta lê o que já está gravado, mantendo o recorte de permissão de cada origem. Anexo de conversa só aparece para quem participa dela.</t>
        </is>
      </c>
      <c r="G49" s="9" t="inlineStr">
        <is>
          <t>Aluno/Monitor/Professor</t>
        </is>
      </c>
      <c r="H49" s="9" t="inlineStr">
        <is>
          <t>IMPORTANTE</t>
        </is>
      </c>
    </row>
    <row r="50">
      <c r="A50" s="8" t="n">
        <v>49</v>
      </c>
      <c r="B50" s="8" t="inlineStr">
        <is>
          <t>RF-COL-015</t>
        </is>
      </c>
      <c r="C50" s="8" t="inlineStr">
        <is>
          <t>Consultar trabalhos da disciplina</t>
        </is>
      </c>
      <c r="D50" s="8" t="inlineStr">
        <is>
          <t>Colaboração</t>
        </is>
      </c>
      <c r="E50" s="8" t="inlineStr">
        <is>
          <t>Usuário vê os trabalhos propostos, o prazo e a situação do próprio grupo.</t>
        </is>
      </c>
      <c r="F50" s="8" t="inlineStr">
        <is>
          <t>GET /api/colaboracao/trabalhos/. Filtra pelas disciplinas de vínculo. Quem não tem vínculo com nenhuma disciplina não alcança esta tela: a aba sequer aparece, porque toda ação disponível ali terminaria em erro.</t>
        </is>
      </c>
      <c r="G50" s="8" t="inlineStr">
        <is>
          <t>Aluno/Monitor/Professor</t>
        </is>
      </c>
      <c r="H50" s="8" t="inlineStr">
        <is>
          <t>ESSENCIAL</t>
        </is>
      </c>
    </row>
    <row r="51">
      <c r="A51" s="9" t="n">
        <v>50</v>
      </c>
      <c r="B51" s="9" t="inlineStr">
        <is>
          <t>RF-COL-016</t>
        </is>
      </c>
      <c r="C51" s="9" t="inlineStr">
        <is>
          <t>Consultar composição dos grupos</t>
        </is>
      </c>
      <c r="D51" s="9" t="inlineStr">
        <is>
          <t>Colaboração</t>
        </is>
      </c>
      <c r="E51" s="9" t="inlineStr">
        <is>
          <t>Quem conduz a turma vê como os grupos ficaram formados.</t>
        </is>
      </c>
      <c r="F51" s="9" t="inlineStr">
        <is>
          <t>GET /api/colaboracao/grupos/. O professor enxerga a composição e o andamento, mas não entra na conversa privada da equipe.</t>
        </is>
      </c>
      <c r="G51" s="9" t="inlineStr">
        <is>
          <t>Professor/Monitor</t>
        </is>
      </c>
      <c r="H51" s="9" t="inlineStr">
        <is>
          <t>ESSENCIAL</t>
        </is>
      </c>
    </row>
    <row r="52">
      <c r="A52" s="8" t="n">
        <v>51</v>
      </c>
      <c r="B52" s="8" t="inlineStr">
        <is>
          <t>RF-COL-017</t>
        </is>
      </c>
      <c r="C52" s="8" t="inlineStr">
        <is>
          <t>Listar conversas com pendências</t>
        </is>
      </c>
      <c r="D52" s="8" t="inlineStr">
        <is>
          <t>Colaboração</t>
        </is>
      </c>
      <c r="E52" s="8" t="inlineStr">
        <is>
          <t>Usuário vê suas conversas com a quantidade de mensagens por ler.</t>
        </is>
      </c>
      <c r="F52" s="8" t="inlineStr">
        <is>
          <t>GET /api/colaboracao/conversas/. Filtra por participação e calcula as não lidas a partir do marcador de leitura de cada participante.</t>
        </is>
      </c>
      <c r="G52" s="8" t="inlineStr">
        <is>
          <t>Aluno/Monitor/Professor</t>
        </is>
      </c>
      <c r="H52" s="8" t="inlineStr">
        <is>
          <t>ESSENCIAL</t>
        </is>
      </c>
    </row>
    <row r="53">
      <c r="A53" s="9" t="n">
        <v>52</v>
      </c>
      <c r="B53" s="9" t="inlineStr">
        <is>
          <t>RF-COL-018</t>
        </is>
      </c>
      <c r="C53" s="9" t="inlineStr">
        <is>
          <t>Acompanhar a fila de pedidos de ajuda</t>
        </is>
      </c>
      <c r="D53" s="9" t="inlineStr">
        <is>
          <t>Colaboração</t>
        </is>
      </c>
      <c r="E53" s="9" t="inlineStr">
        <is>
          <t>Quem conduz a turma vê os pedidos abertos, em atendimento e resolvidos.</t>
        </is>
      </c>
      <c r="F53" s="9" t="inlineStr">
        <is>
          <t>GET /api/colaboracao/ajuda/. O destino do pedido decide quem o enxerga: monitoria quando a disciplina tem monitor, professor quando não tem.</t>
        </is>
      </c>
      <c r="G53" s="9" t="inlineStr">
        <is>
          <t>Monitor/Professor</t>
        </is>
      </c>
      <c r="H53" s="9" t="inlineStr">
        <is>
          <t>ESSENCIAL</t>
        </is>
      </c>
    </row>
    <row r="54">
      <c r="A54" s="8" t="n">
        <v>53</v>
      </c>
      <c r="B54" s="8" t="inlineStr">
        <is>
          <t>RF-VOL-001</t>
        </is>
      </c>
      <c r="C54" s="8" t="inlineStr">
        <is>
          <t>Publicar oportunidade</t>
        </is>
      </c>
      <c r="D54" s="8" t="inlineStr">
        <is>
          <t>Voluntariado</t>
        </is>
      </c>
      <c r="E54" s="8" t="inlineStr">
        <is>
          <t>Organização parceira cadastra uma ação de voluntariado com período, vagas, carga horária e local.</t>
        </is>
      </c>
      <c r="F54" s="8" t="inlineStr">
        <is>
          <t>POST /api/voluntariado/oportunidades/. Restrito ao perfil de organização.</t>
        </is>
      </c>
      <c r="G54" s="8" t="inlineStr">
        <is>
          <t>Organização</t>
        </is>
      </c>
      <c r="H54" s="8" t="inlineStr">
        <is>
          <t>ESSENCIAL</t>
        </is>
      </c>
    </row>
    <row r="55">
      <c r="A55" s="9" t="n">
        <v>54</v>
      </c>
      <c r="B55" s="9" t="inlineStr">
        <is>
          <t>RF-VOL-002</t>
        </is>
      </c>
      <c r="C55" s="9" t="inlineStr">
        <is>
          <t>Consultar oportunidades</t>
        </is>
      </c>
      <c r="D55" s="9" t="inlineStr">
        <is>
          <t>Voluntariado</t>
        </is>
      </c>
      <c r="E55" s="9" t="inlineStr">
        <is>
          <t>Estudante vê as ações disponíveis, com filtro por situação e busca por texto.</t>
        </is>
      </c>
      <c r="F55" s="9" t="inlineStr">
        <is>
          <t>GET /api/voluntariado/oportunidades/. Informa vagas preenchidas e total.</t>
        </is>
      </c>
      <c r="G55" s="9" t="inlineStr">
        <is>
          <t>Aluno</t>
        </is>
      </c>
      <c r="H55" s="9" t="inlineStr">
        <is>
          <t>ESSENCIAL</t>
        </is>
      </c>
    </row>
    <row r="56">
      <c r="A56" s="8" t="n">
        <v>55</v>
      </c>
      <c r="B56" s="8" t="inlineStr">
        <is>
          <t>RF-VOL-003</t>
        </is>
      </c>
      <c r="C56" s="8" t="inlineStr">
        <is>
          <t>Inscrever-se em oportunidade</t>
        </is>
      </c>
      <c r="D56" s="8" t="inlineStr">
        <is>
          <t>Voluntariado</t>
        </is>
      </c>
      <c r="E56" s="8" t="inlineStr">
        <is>
          <t>Estudante se candidata a uma vaga.</t>
        </is>
      </c>
      <c r="F56" s="8" t="inlineStr">
        <is>
          <t>POST /api/voluntariado/oportunidades/{id}/inscrever/. Unicidade por par pessoa e oportunidade. Verifica vaga disponível dentro de transação, para que duas inscrições simultâneas não ultrapassem o limite.</t>
        </is>
      </c>
      <c r="G56" s="8" t="inlineStr">
        <is>
          <t>Aluno</t>
        </is>
      </c>
      <c r="H56" s="8" t="inlineStr">
        <is>
          <t>ESSENCIAL</t>
        </is>
      </c>
    </row>
    <row r="57">
      <c r="A57" s="9" t="n">
        <v>56</v>
      </c>
      <c r="B57" s="9" t="inlineStr">
        <is>
          <t>RF-VOL-004</t>
        </is>
      </c>
      <c r="C57" s="9" t="inlineStr">
        <is>
          <t>Desistir da inscrição</t>
        </is>
      </c>
      <c r="D57" s="9" t="inlineStr">
        <is>
          <t>Voluntariado</t>
        </is>
      </c>
      <c r="E57" s="9" t="inlineStr">
        <is>
          <t>Estudante cancela a própria inscrição e libera a vaga.</t>
        </is>
      </c>
      <c r="F57" s="9" t="inlineStr">
        <is>
          <t>POST /api/voluntariado/inscricoes/{id}/desistir/.</t>
        </is>
      </c>
      <c r="G57" s="9" t="inlineStr">
        <is>
          <t>Aluno</t>
        </is>
      </c>
      <c r="H57" s="9" t="inlineStr">
        <is>
          <t>IMPORTANTE</t>
        </is>
      </c>
    </row>
    <row r="58">
      <c r="A58" s="8" t="n">
        <v>57</v>
      </c>
      <c r="B58" s="8" t="inlineStr">
        <is>
          <t>RF-VOL-005</t>
        </is>
      </c>
      <c r="C58" s="8" t="inlineStr">
        <is>
          <t>Aprovar ou rejeitar inscrição</t>
        </is>
      </c>
      <c r="D58" s="8" t="inlineStr">
        <is>
          <t>Voluntariado</t>
        </is>
      </c>
      <c r="E58" s="8" t="inlineStr">
        <is>
          <t>A organização decide quem participa.</t>
        </is>
      </c>
      <c r="F58" s="8" t="inlineStr">
        <is>
          <t>POST /api/voluntariado/inscricoes/{id}/aprovar/ e rejeitar. Notifica o candidato da decisão.</t>
        </is>
      </c>
      <c r="G58" s="8" t="inlineStr">
        <is>
          <t>Organização</t>
        </is>
      </c>
      <c r="H58" s="8" t="inlineStr">
        <is>
          <t>ESSENCIAL</t>
        </is>
      </c>
    </row>
    <row r="59">
      <c r="A59" s="9" t="n">
        <v>58</v>
      </c>
      <c r="B59" s="9" t="inlineStr">
        <is>
          <t>RF-VOL-006</t>
        </is>
      </c>
      <c r="C59" s="9" t="inlineStr">
        <is>
          <t>Remover participante</t>
        </is>
      </c>
      <c r="D59" s="9" t="inlineStr">
        <is>
          <t>Voluntariado</t>
        </is>
      </c>
      <c r="E59" s="9" t="inlineStr">
        <is>
          <t>A organização retira alguém já aprovado.</t>
        </is>
      </c>
      <c r="F59" s="9" t="inlineStr">
        <is>
          <t>POST /api/voluntariado/inscricoes/{id}/remover/. Devolve a vaga.</t>
        </is>
      </c>
      <c r="G59" s="9" t="inlineStr">
        <is>
          <t>Organização</t>
        </is>
      </c>
      <c r="H59" s="9" t="inlineStr">
        <is>
          <t>IMPORTANTE</t>
        </is>
      </c>
    </row>
    <row r="60">
      <c r="A60" s="8" t="n">
        <v>59</v>
      </c>
      <c r="B60" s="8" t="inlineStr">
        <is>
          <t>RF-VOL-007</t>
        </is>
      </c>
      <c r="C60" s="8" t="inlineStr">
        <is>
          <t>Concluir participação</t>
        </is>
      </c>
      <c r="D60" s="8" t="inlineStr">
        <is>
          <t>Voluntariado</t>
        </is>
      </c>
      <c r="E60" s="8" t="inlineStr">
        <is>
          <t>A organização confirma que a pessoa cumpriu a ação, o que dispara a emissão do certificado.</t>
        </is>
      </c>
      <c r="F60" s="8" t="inlineStr">
        <is>
          <t>POST /api/voluntariado/inscricoes/{id}/concluir/. Registra a conclusão e gera o certificado na sequência.</t>
        </is>
      </c>
      <c r="G60" s="8" t="inlineStr">
        <is>
          <t>Organização</t>
        </is>
      </c>
      <c r="H60" s="8" t="inlineStr">
        <is>
          <t>CRÍTICA</t>
        </is>
      </c>
    </row>
    <row r="61">
      <c r="A61" s="9" t="n">
        <v>60</v>
      </c>
      <c r="B61" s="9" t="inlineStr">
        <is>
          <t>RF-VOL-008</t>
        </is>
      </c>
      <c r="C61" s="9" t="inlineStr">
        <is>
          <t>Emitir certificado em PDF</t>
        </is>
      </c>
      <c r="D61" s="9" t="inlineStr">
        <is>
          <t>Voluntariado</t>
        </is>
      </c>
      <c r="E61" s="9" t="inlineStr">
        <is>
          <t>Certificado de participação com código de verificação, para aproveitamento das horas como atividade complementar.</t>
        </is>
      </c>
      <c r="F61" s="9" t="inlineStr">
        <is>
          <t>Geração com WeasyPrint a partir de modelo HTML, com identidade visual da UNIFEI, dados da ação, carga horária e código único de conferência.</t>
        </is>
      </c>
      <c r="G61" s="9" t="inlineStr">
        <is>
          <t>Sistema</t>
        </is>
      </c>
      <c r="H61" s="9" t="inlineStr">
        <is>
          <t>CRÍTICA</t>
        </is>
      </c>
    </row>
    <row r="62">
      <c r="A62" s="8" t="n">
        <v>61</v>
      </c>
      <c r="B62" s="8" t="inlineStr">
        <is>
          <t>RF-VOL-009</t>
        </is>
      </c>
      <c r="C62" s="8" t="inlineStr">
        <is>
          <t>Consultar certificados</t>
        </is>
      </c>
      <c r="D62" s="8" t="inlineStr">
        <is>
          <t>Voluntariado</t>
        </is>
      </c>
      <c r="E62" s="8" t="inlineStr">
        <is>
          <t>Estudante acessa e baixa os certificados que recebeu.</t>
        </is>
      </c>
      <c r="F62" s="8" t="inlineStr">
        <is>
          <t>GET /api/voluntariado/certificados/.</t>
        </is>
      </c>
      <c r="G62" s="8" t="inlineStr">
        <is>
          <t>Aluno</t>
        </is>
      </c>
      <c r="H62" s="8" t="inlineStr">
        <is>
          <t>ESSENCIAL</t>
        </is>
      </c>
    </row>
    <row r="63">
      <c r="A63" s="9" t="n">
        <v>62</v>
      </c>
      <c r="B63" s="9" t="inlineStr">
        <is>
          <t>RF-VOL-010</t>
        </is>
      </c>
      <c r="C63" s="9" t="inlineStr">
        <is>
          <t>Acompanhar inscritos</t>
        </is>
      </c>
      <c r="D63" s="9" t="inlineStr">
        <is>
          <t>Voluntariado</t>
        </is>
      </c>
      <c r="E63" s="9" t="inlineStr">
        <is>
          <t>A organização vê quem se inscreveu e em que situação está cada inscrição.</t>
        </is>
      </c>
      <c r="F63" s="9" t="inlineStr">
        <is>
          <t>GET /api/voluntariado/oportunidades/{id}/inscricoes/.</t>
        </is>
      </c>
      <c r="G63" s="9" t="inlineStr">
        <is>
          <t>Organização</t>
        </is>
      </c>
      <c r="H63" s="9" t="inlineStr">
        <is>
          <t>ESSENCIAL</t>
        </is>
      </c>
    </row>
    <row r="64">
      <c r="A64" s="8" t="n">
        <v>63</v>
      </c>
      <c r="B64" s="8" t="inlineStr">
        <is>
          <t>RF-VOL-011</t>
        </is>
      </c>
      <c r="C64" s="8" t="inlineStr">
        <is>
          <t>Editar oportunidade publicada</t>
        </is>
      </c>
      <c r="D64" s="8" t="inlineStr">
        <is>
          <t>Voluntariado</t>
        </is>
      </c>
      <c r="E64" s="8" t="inlineStr">
        <is>
          <t>A organização corrige dados da ação já publicada.</t>
        </is>
      </c>
      <c r="F64" s="8" t="inlineStr">
        <is>
          <t>PUT /api/voluntariado/oportunidades/{id}/. Verifica que a organização é a autora. Alteração de data notifica os inscritos.</t>
        </is>
      </c>
      <c r="G64" s="8" t="inlineStr">
        <is>
          <t>Organização</t>
        </is>
      </c>
      <c r="H64" s="8" t="inlineStr">
        <is>
          <t>IMPORTANTE</t>
        </is>
      </c>
    </row>
    <row r="65">
      <c r="A65" s="9" t="n">
        <v>64</v>
      </c>
      <c r="B65" s="9" t="inlineStr">
        <is>
          <t>RF-VOL-012</t>
        </is>
      </c>
      <c r="C65" s="9" t="inlineStr">
        <is>
          <t>Encerrar oportunidade</t>
        </is>
      </c>
      <c r="D65" s="9" t="inlineStr">
        <is>
          <t>Voluntariado</t>
        </is>
      </c>
      <c r="E65" s="9" t="inlineStr">
        <is>
          <t>A organização encerra as inscrições sem apagar o registro.</t>
        </is>
      </c>
      <c r="F65" s="9" t="inlineStr">
        <is>
          <t>Alteração de situação, e não remoção. Quem participou precisa de um caminho de volta até a ação para alcançar o certificado.</t>
        </is>
      </c>
      <c r="G65" s="9" t="inlineStr">
        <is>
          <t>Organização</t>
        </is>
      </c>
      <c r="H65" s="9" t="inlineStr">
        <is>
          <t>ESSENCIAL</t>
        </is>
      </c>
    </row>
    <row r="66">
      <c r="A66" s="8" t="n">
        <v>65</v>
      </c>
      <c r="B66" s="8" t="inlineStr">
        <is>
          <t>RF-VOL-013</t>
        </is>
      </c>
      <c r="C66" s="8" t="inlineStr">
        <is>
          <t>Consultar as próprias inscrições</t>
        </is>
      </c>
      <c r="D66" s="8" t="inlineStr">
        <is>
          <t>Voluntariado</t>
        </is>
      </c>
      <c r="E66" s="8" t="inlineStr">
        <is>
          <t>Estudante acompanha em que situação está cada candidatura.</t>
        </is>
      </c>
      <c r="F66" s="8" t="inlineStr">
        <is>
          <t>GET /api/voluntariado/inscricoes/minhas/.</t>
        </is>
      </c>
      <c r="G66" s="8" t="inlineStr">
        <is>
          <t>Aluno</t>
        </is>
      </c>
      <c r="H66" s="8" t="inlineStr">
        <is>
          <t>ESSENCIAL</t>
        </is>
      </c>
    </row>
    <row r="67">
      <c r="A67" s="9" t="n">
        <v>66</v>
      </c>
      <c r="B67" s="9" t="inlineStr">
        <is>
          <t>RF-VOL-014</t>
        </is>
      </c>
      <c r="C67" s="9" t="inlineStr">
        <is>
          <t>Publicar campanha de doação</t>
        </is>
      </c>
      <c r="D67" s="9" t="inlineStr">
        <is>
          <t>Voluntariado</t>
        </is>
      </c>
      <c r="E67" s="9" t="inlineStr">
        <is>
          <t>A organização cadastra uma arrecadação de itens, como agasalhos ou alimentos, definindo como a contribuição será contada.</t>
        </is>
      </c>
      <c r="F67" s="9" t="inlineStr">
        <is>
          <t>Modalidade da oportunidade. A unidade é texto livre — peças de agasalho, quilos de alimento — porque qualquer lista fixa não teria a categoria da próxima campanha. Meta é opcional. Vagas e carga horária não se aplicam: campanha não limita participantes nem cumpre hora.</t>
        </is>
      </c>
      <c r="G67" s="9" t="inlineStr">
        <is>
          <t>Organização</t>
        </is>
      </c>
      <c r="H67" s="9" t="inlineStr">
        <is>
          <t>ESSENCIAL</t>
        </is>
      </c>
    </row>
    <row r="68">
      <c r="A68" s="8" t="n">
        <v>67</v>
      </c>
      <c r="B68" s="8" t="inlineStr">
        <is>
          <t>RF-VOL-015</t>
        </is>
      </c>
      <c r="C68" s="8" t="inlineStr">
        <is>
          <t>Declarar doação</t>
        </is>
      </c>
      <c r="D68" s="8" t="inlineStr">
        <is>
          <t>Voluntariado</t>
        </is>
      </c>
      <c r="E68" s="8" t="inlineStr">
        <is>
          <t>Estudante informa quanto pretende entregar à campanha.</t>
        </is>
      </c>
      <c r="F68" s="8" t="inlineStr">
        <is>
          <t>POST em inscrever, com quantidade declarada e descrição opcional do item. É declaração de intenção: o valor fica registrado à parte e não entra na contagem da campanha até a organização confirmar o recebimento.</t>
        </is>
      </c>
      <c r="G68" s="8" t="inlineStr">
        <is>
          <t>Aluno</t>
        </is>
      </c>
      <c r="H68" s="8" t="inlineStr">
        <is>
          <t>ESSENCIAL</t>
        </is>
      </c>
    </row>
    <row r="69">
      <c r="A69" s="9" t="n">
        <v>68</v>
      </c>
      <c r="B69" s="9" t="inlineStr">
        <is>
          <t>RF-VOL-016</t>
        </is>
      </c>
      <c r="C69" s="9" t="inlineStr">
        <is>
          <t>Confirmar recebimento da doação</t>
        </is>
      </c>
      <c r="D69" s="9" t="inlineStr">
        <is>
          <t>Voluntariado</t>
        </is>
      </c>
      <c r="E69" s="9" t="inlineStr">
        <is>
          <t>A organização registra quanto de fato recebeu, que pode divergir do que foi declarado.</t>
        </is>
      </c>
      <c r="F69" s="9" t="inlineStr">
        <is>
          <t>POST em concluir, com a quantidade confirmada. Sem valor informado, vale o declarado. O campo é somente leitura para o estudante: se ele pudesse registrar o próprio recebimento, o total da campanha deixaria de significar algo. Emite o certificado na mesma operação.</t>
        </is>
      </c>
      <c r="G69" s="9" t="inlineStr">
        <is>
          <t>Organização</t>
        </is>
      </c>
      <c r="H69" s="9" t="inlineStr">
        <is>
          <t>CRÍTICA</t>
        </is>
      </c>
    </row>
    <row r="70">
      <c r="A70" s="8" t="n">
        <v>69</v>
      </c>
      <c r="B70" s="8" t="inlineStr">
        <is>
          <t>RF-VOL-017</t>
        </is>
      </c>
      <c r="C70" s="8" t="inlineStr">
        <is>
          <t>Acompanhar a arrecadação</t>
        </is>
      </c>
      <c r="D70" s="8" t="inlineStr">
        <is>
          <t>Voluntariado</t>
        </is>
      </c>
      <c r="E70" s="8" t="inlineStr">
        <is>
          <t>A página da campanha mostra quanto já foi arrecadado e, havendo meta, o progresso em relação a ela.</t>
        </is>
      </c>
      <c r="F70" s="8" t="inlineStr">
        <is>
          <t>Soma apenas as quantidades confirmadas em participações concluídas. Sem meta declarada não há barra de progresso: a barra precisa de um denominador, e inventar um faria a campanha parecer mais adiantada do que está.</t>
        </is>
      </c>
      <c r="G70" s="8" t="inlineStr">
        <is>
          <t>Todos</t>
        </is>
      </c>
      <c r="H70" s="8" t="inlineStr">
        <is>
          <t>ESSENCIAL</t>
        </is>
      </c>
    </row>
    <row r="71">
      <c r="A71" s="9" t="n">
        <v>70</v>
      </c>
      <c r="B71" s="9" t="inlineStr">
        <is>
          <t>RF-VOL-018</t>
        </is>
      </c>
      <c r="C71" s="9" t="inlineStr">
        <is>
          <t>Certificar participação em campanha</t>
        </is>
      </c>
      <c r="D71" s="9" t="inlineStr">
        <is>
          <t>Voluntariado</t>
        </is>
      </c>
      <c r="E71" s="9" t="inlineStr">
        <is>
          <t>Quem doou recebe certificado declarando a contribuição.</t>
        </is>
      </c>
      <c r="F71" s="9" t="inlineStr">
        <is>
          <t>O texto do certificado muda com a modalidade: registra o que foi entregue e acrescenta que a organização atribui àquela participação o equivalente a um número de horas por ela definido. A formulação é deliberada — doar não é cumprir hora, e quem receber o documento precisa saber que avalia uma equivalência declarada pela entidade.</t>
        </is>
      </c>
      <c r="G71" s="9" t="inlineStr">
        <is>
          <t>Sistema</t>
        </is>
      </c>
      <c r="H71" s="9" t="inlineStr">
        <is>
          <t>ESSENCIAL</t>
        </is>
      </c>
    </row>
    <row r="72">
      <c r="A72" s="8" t="n">
        <v>71</v>
      </c>
      <c r="B72" s="8" t="inlineStr">
        <is>
          <t>RF-PAI-001</t>
        </is>
      </c>
      <c r="C72" s="8" t="inlineStr">
        <is>
          <t>Painel de quem conduz a turma</t>
        </is>
      </c>
      <c r="D72" s="8" t="inlineStr">
        <is>
          <t>Painéis</t>
        </is>
      </c>
      <c r="E72" s="8" t="inlineStr">
        <is>
          <t>Professor e monitor veem, num lugar só, as dúvidas sem resposta, os pedidos de ajuda abertos e os trabalhos em andamento das suas turmas.</t>
        </is>
      </c>
      <c r="F72" s="8" t="inlineStr">
        <is>
          <t>Composição das consultas dos módulos, restrita às disciplinas em que a pessoa leciona ou exerce monitoria. O monitor vê apenas onde é monitor.</t>
        </is>
      </c>
      <c r="G72" s="8" t="inlineStr">
        <is>
          <t>Professor/Monitor</t>
        </is>
      </c>
      <c r="H72" s="8" t="inlineStr">
        <is>
          <t>ESSENCIAL</t>
        </is>
      </c>
    </row>
    <row r="73">
      <c r="A73" s="9" t="n">
        <v>72</v>
      </c>
      <c r="B73" s="9" t="inlineStr">
        <is>
          <t>RF-PAI-002</t>
        </is>
      </c>
      <c r="C73" s="9" t="inlineStr">
        <is>
          <t>Painel da organização parceira</t>
        </is>
      </c>
      <c r="D73" s="9" t="inlineStr">
        <is>
          <t>Painéis</t>
        </is>
      </c>
      <c r="E73" s="9" t="inlineStr">
        <is>
          <t>A organização vê suas oportunidades, quantos se inscreveram e quantos concluíram.</t>
        </is>
      </c>
      <c r="F73" s="9" t="inlineStr">
        <is>
          <t>Restrito às oportunidades da própria organização. A organização não participa do fórum: publica ações, acompanha inscrições e emite certificados.</t>
        </is>
      </c>
      <c r="G73" s="9" t="inlineStr">
        <is>
          <t>Organização</t>
        </is>
      </c>
      <c r="H73" s="9" t="inlineStr">
        <is>
          <t>ESSENCIAL</t>
        </is>
      </c>
    </row>
    <row r="74">
      <c r="A74" s="8" t="n">
        <v>73</v>
      </c>
      <c r="B74" s="8" t="inlineStr">
        <is>
          <t>RF-NOT-001</t>
        </is>
      </c>
      <c r="C74" s="8" t="inlineStr">
        <is>
          <t>Entregar notificação em tempo real</t>
        </is>
      </c>
      <c r="D74" s="8" t="inlineStr">
        <is>
          <t>Notificações</t>
        </is>
      </c>
      <c r="E74" s="8" t="inlineStr">
        <is>
          <t>O aviso chega sem recarregar a página.</t>
        </is>
      </c>
      <c r="F74" s="8" t="inlineStr">
        <is>
          <t>WebSocket em /ws/notificacoes/ com Django Channels sobre Daphne. Sala por usuário. Camada em Redis quando disponível, com queda para camada em memória em implantação de instância única.</t>
        </is>
      </c>
      <c r="G74" s="8" t="inlineStr">
        <is>
          <t>Sistema</t>
        </is>
      </c>
      <c r="H74" s="8" t="inlineStr">
        <is>
          <t>ESSENCIAL</t>
        </is>
      </c>
    </row>
    <row r="75">
      <c r="A75" s="9" t="n">
        <v>74</v>
      </c>
      <c r="B75" s="9" t="inlineStr">
        <is>
          <t>RF-NOT-002</t>
        </is>
      </c>
      <c r="C75" s="9" t="inlineStr">
        <is>
          <t>Listar notificações</t>
        </is>
      </c>
      <c r="D75" s="9" t="inlineStr">
        <is>
          <t>Notificações</t>
        </is>
      </c>
      <c r="E75" s="9" t="inlineStr">
        <is>
          <t>Usuário vê o histórico de avisos e quantos estão por ler.</t>
        </is>
      </c>
      <c r="F75" s="9" t="inlineStr">
        <is>
          <t>GET /api/notificacoes/ e /nao-lidas/.</t>
        </is>
      </c>
      <c r="G75" s="9" t="inlineStr">
        <is>
          <t>Todos</t>
        </is>
      </c>
      <c r="H75" s="9" t="inlineStr">
        <is>
          <t>ESSENCIAL</t>
        </is>
      </c>
    </row>
    <row r="76">
      <c r="A76" s="8" t="n">
        <v>75</v>
      </c>
      <c r="B76" s="8" t="inlineStr">
        <is>
          <t>RF-NOT-003</t>
        </is>
      </c>
      <c r="C76" s="8" t="inlineStr">
        <is>
          <t>Marcar notificação como lida</t>
        </is>
      </c>
      <c r="D76" s="8" t="inlineStr">
        <is>
          <t>Notificações</t>
        </is>
      </c>
      <c r="E76" s="8" t="inlineStr">
        <is>
          <t>Usuário marca um aviso ou todos de uma vez.</t>
        </is>
      </c>
      <c r="F76" s="8" t="inlineStr">
        <is>
          <t>POST /api/notificacoes/{id}/marcar-lida/ e /marcar-todas-lidas/.</t>
        </is>
      </c>
      <c r="G76" s="8" t="inlineStr">
        <is>
          <t>Todos</t>
        </is>
      </c>
      <c r="H76" s="8" t="inlineStr">
        <is>
          <t>IMPORTANTE</t>
        </is>
      </c>
    </row>
    <row r="77">
      <c r="A77" s="9" t="n">
        <v>76</v>
      </c>
      <c r="B77" s="9" t="inlineStr">
        <is>
          <t>RF-NOT-004</t>
        </is>
      </c>
      <c r="C77" s="9" t="inlineStr">
        <is>
          <t>Limpar notificações</t>
        </is>
      </c>
      <c r="D77" s="9" t="inlineStr">
        <is>
          <t>Notificações</t>
        </is>
      </c>
      <c r="E77" s="9" t="inlineStr">
        <is>
          <t>Usuário descarta os avisos já lidos.</t>
        </is>
      </c>
      <c r="F77" s="9" t="inlineStr">
        <is>
          <t>POST /api/notificacoes/limpar/.</t>
        </is>
      </c>
      <c r="G77" s="9" t="inlineStr">
        <is>
          <t>Todos</t>
        </is>
      </c>
      <c r="H77" s="9" t="inlineStr">
        <is>
          <t>DESEJÁVEL</t>
        </is>
      </c>
    </row>
    <row r="78">
      <c r="A78" s="8" t="n">
        <v>77</v>
      </c>
      <c r="B78" s="8" t="inlineStr">
        <is>
          <t>RF-NOT-005</t>
        </is>
      </c>
      <c r="C78" s="8" t="inlineStr">
        <is>
          <t>Agrupar aviso por conversa</t>
        </is>
      </c>
      <c r="D78" s="8" t="inlineStr">
        <is>
          <t>Notificações</t>
        </is>
      </c>
      <c r="E78" s="8" t="inlineStr">
        <is>
          <t>Uma conversa com muitas mensagens novas gera um aviso, e não um por mensagem.</t>
        </is>
      </c>
      <c r="F78" s="8" t="inlineStr">
        <is>
          <t>Enquanto houver aviso não lido daquela conversa, não se cria outro. Sem isso, uma discussão ativa produziria dezenas de avisos e a pessoa desligaria todos.</t>
        </is>
      </c>
      <c r="G78" s="8" t="inlineStr">
        <is>
          <t>Sistema</t>
        </is>
      </c>
      <c r="H78" s="8" t="inlineStr">
        <is>
          <t>IMPORTANTE</t>
        </is>
      </c>
    </row>
    <row r="79">
      <c r="A79" s="9" t="n">
        <v>78</v>
      </c>
      <c r="B79" s="9" t="inlineStr">
        <is>
          <t>RF-PRF-001</t>
        </is>
      </c>
      <c r="C79" s="9" t="inlineStr">
        <is>
          <t>Visualizar perfil</t>
        </is>
      </c>
      <c r="D79" s="9" t="inlineStr">
        <is>
          <t>Perfil</t>
        </is>
      </c>
      <c r="E79" s="9" t="inlineStr">
        <is>
          <t>Usuário vê seus dados, foto, curso, período e disciplinas.</t>
        </is>
      </c>
      <c r="F79" s="9" t="inlineStr">
        <is>
          <t>Compõe dados de /api/auth/me/ com o andamento por disciplina.</t>
        </is>
      </c>
      <c r="G79" s="9" t="inlineStr">
        <is>
          <t>Todos</t>
        </is>
      </c>
      <c r="H79" s="9" t="inlineStr">
        <is>
          <t>ESSENCIAL</t>
        </is>
      </c>
    </row>
    <row r="80">
      <c r="A80" s="8" t="n">
        <v>79</v>
      </c>
      <c r="B80" s="8" t="inlineStr">
        <is>
          <t>RF-PRF-002</t>
        </is>
      </c>
      <c r="C80" s="8" t="inlineStr">
        <is>
          <t>Consultar histórico de participação</t>
        </is>
      </c>
      <c r="D80" s="8" t="inlineStr">
        <is>
          <t>Perfil</t>
        </is>
      </c>
      <c r="E80" s="8" t="inlineStr">
        <is>
          <t>Usuário vê suas publicações, inscrições e certificados reunidos.</t>
        </is>
      </c>
      <c r="F80" s="8" t="inlineStr">
        <is>
          <t>Agrega as consultas de cada módulo na tela de perfil.</t>
        </is>
      </c>
      <c r="G80" s="8" t="inlineStr">
        <is>
          <t>Todos</t>
        </is>
      </c>
      <c r="H80" s="8" t="inlineStr">
        <is>
          <t>IMPORTANTE</t>
        </is>
      </c>
    </row>
    <row r="81">
      <c r="A81" s="9" t="n">
        <v>80</v>
      </c>
      <c r="B81" s="9" t="inlineStr">
        <is>
          <t>RF-COO-001</t>
        </is>
      </c>
      <c r="C81" s="9" t="inlineStr">
        <is>
          <t>Acompanhar o curso por disciplina</t>
        </is>
      </c>
      <c r="D81" s="9" t="inlineStr">
        <is>
          <t>Coordenação</t>
        </is>
      </c>
      <c r="E81" s="9" t="inlineStr">
        <is>
          <t>A coordenação vê o movimento de cada disciplina do curso: volume de dúvidas, proporção respondida e tempo até a primeira resposta.</t>
        </is>
      </c>
      <c r="F81" s="9" t="inlineStr">
        <is>
          <t>Painel que agrega por disciplina e período. Identifica disciplina com muita dúvida sem resposta, que é o sinal que o painel existe para produzir.</t>
        </is>
      </c>
      <c r="G81" s="9" t="inlineStr">
        <is>
          <t>Coordenação</t>
        </is>
      </c>
      <c r="H81" s="9" t="inlineStr">
        <is>
          <t>ESSENCIAL</t>
        </is>
      </c>
    </row>
    <row r="82">
      <c r="A82" s="8" t="n">
        <v>81</v>
      </c>
      <c r="B82" s="8" t="inlineStr">
        <is>
          <t>RF-COO-002</t>
        </is>
      </c>
      <c r="C82" s="8" t="inlineStr">
        <is>
          <t>Detalhar uma disciplina</t>
        </is>
      </c>
      <c r="D82" s="8" t="inlineStr">
        <is>
          <t>Coordenação</t>
        </is>
      </c>
      <c r="E82" s="8" t="inlineStr">
        <is>
          <t>A coordenação abre uma disciplina e vê as dúvidas mais vistas e as sem resposta.</t>
        </is>
      </c>
      <c r="F82" s="8" t="inlineStr">
        <is>
          <t>Consulta por disciplina, ordenada pela razão entre visualizações e respostas.</t>
        </is>
      </c>
      <c r="G82" s="8" t="inlineStr">
        <is>
          <t>Coordenação</t>
        </is>
      </c>
      <c r="H82" s="8" t="inlineStr">
        <is>
          <t>IMPORTANTE</t>
        </is>
      </c>
    </row>
    <row r="83">
      <c r="A83" s="9" t="n">
        <v>82</v>
      </c>
      <c r="B83" s="9" t="inlineStr">
        <is>
          <t>RF-COO-003</t>
        </is>
      </c>
      <c r="C83" s="9" t="inlineStr">
        <is>
          <t>Importar a matriz curricular</t>
        </is>
      </c>
      <c r="D83" s="9" t="inlineStr">
        <is>
          <t>Coordenação</t>
        </is>
      </c>
      <c r="E83" s="9" t="inlineStr">
        <is>
          <t>As disciplinas do curso entram na plataforma a partir do projeto pedagógico.</t>
        </is>
      </c>
      <c r="F83" s="9" t="inlineStr">
        <is>
          <t>Comando importar_matriz_ppc, que lê o ementário e cadastra código, nome, período e carga horária. A paridade do período define o semestre de oferta.</t>
        </is>
      </c>
      <c r="G83" s="9" t="inlineStr">
        <is>
          <t>Coordenação</t>
        </is>
      </c>
      <c r="H83" s="9" t="inlineStr">
        <is>
          <t>IMPORTANTE</t>
        </is>
      </c>
    </row>
    <row r="84">
      <c r="A84" s="8" t="n">
        <v>83</v>
      </c>
      <c r="B84" s="8" t="inlineStr">
        <is>
          <t>RF-AUD-001</t>
        </is>
      </c>
      <c r="C84" s="8" t="inlineStr">
        <is>
          <t>Registrar ações sensíveis</t>
        </is>
      </c>
      <c r="D84" s="8" t="inlineStr">
        <is>
          <t>Auditoria</t>
        </is>
      </c>
      <c r="E84" s="8" t="inlineStr">
        <is>
          <t>Ações de moderação e de gestão de vínculos ficam registradas.</t>
        </is>
      </c>
      <c r="F84" s="8" t="inlineStr">
        <is>
          <t>Modelo de registro de auditoria, com autor, ação, alvo e momento. Consulta restrita à administração.</t>
        </is>
      </c>
      <c r="G84" s="8" t="inlineStr">
        <is>
          <t>Sistema</t>
        </is>
      </c>
      <c r="H84" s="8" t="inlineStr">
        <is>
          <t>IMPORTANTE</t>
        </is>
      </c>
    </row>
    <row r="85">
      <c r="A85" s="9" t="n">
        <v>84</v>
      </c>
      <c r="B85" s="9" t="inlineStr">
        <is>
          <t>RF-SIS-001</t>
        </is>
      </c>
      <c r="C85" s="9" t="inlineStr">
        <is>
          <t>Alternar entre tema claro e escuro</t>
        </is>
      </c>
      <c r="D85" s="9" t="inlineStr">
        <is>
          <t>Sistema</t>
        </is>
      </c>
      <c r="E85" s="9" t="inlineStr">
        <is>
          <t>Usuário escolhe o tema e a escolha permanece entre visitas.</t>
        </is>
      </c>
      <c r="F85" s="9" t="inlineStr">
        <is>
          <t>Alternância por variáveis de cor no navegador, com a preferência guardada localmente. Todas as cores da interface vêm dessas variáveis: valor fixo escrito no código produz texto ilegível num dos dois temas.</t>
        </is>
      </c>
      <c r="G85" s="9" t="inlineStr">
        <is>
          <t>Todos</t>
        </is>
      </c>
      <c r="H85" s="9" t="inlineStr">
        <is>
          <t>IMPORTANTE</t>
        </is>
      </c>
    </row>
    <row r="86">
      <c r="A86" s="8" t="n">
        <v>85</v>
      </c>
      <c r="B86" s="8" t="inlineStr">
        <is>
          <t>RF-SIS-002</t>
        </is>
      </c>
      <c r="C86" s="8" t="inlineStr">
        <is>
          <t>Consultar a documentação da API</t>
        </is>
      </c>
      <c r="D86" s="8" t="inlineStr">
        <is>
          <t>Sistema</t>
        </is>
      </c>
      <c r="E86" s="8" t="inlineStr">
        <is>
          <t>A especificação da API fica acessível e navegável.</t>
        </is>
      </c>
      <c r="F86" s="8" t="inlineStr">
        <is>
          <t>Esquema OpenAPI gerado por drf-spectacular a partir das views e serializadores, com interface de navegação.</t>
        </is>
      </c>
      <c r="G86" s="8" t="inlineStr">
        <is>
          <t>Desenvolvedor</t>
        </is>
      </c>
      <c r="H86" s="8" t="inlineStr">
        <is>
          <t>IMPORTANTE</t>
        </is>
      </c>
    </row>
    <row r="87">
      <c r="A87" s="9" t="n">
        <v>86</v>
      </c>
      <c r="B87" s="9" t="inlineStr">
        <is>
          <t>RF-SIS-003</t>
        </is>
      </c>
      <c r="C87" s="9" t="inlineStr">
        <is>
          <t>Carregar dados de demonstração</t>
        </is>
      </c>
      <c r="D87" s="9" t="inlineStr">
        <is>
          <t>Sistema</t>
        </is>
      </c>
      <c r="E87" s="9" t="inlineStr">
        <is>
          <t>A plataforma pode ser povoada com um semestre completo para demonstração e avaliação.</t>
        </is>
      </c>
      <c r="F87" s="9" t="inlineStr">
        <is>
          <t>Comando popular_demonstracao, com semente fixa para que a mesma execução produza sempre o mesmo conjunto. Gera disciplinas com ritmos distintos de atividade, deliberadamente incluindo uma sem professor atribuído, para que o painel de coordenação tenha o que apontar.</t>
        </is>
      </c>
      <c r="G87" s="9" t="inlineStr">
        <is>
          <t>Coordenação</t>
        </is>
      </c>
      <c r="H87" s="9" t="inlineStr">
        <is>
          <t>IMPORTANTE</t>
        </is>
      </c>
    </row>
  </sheetData>
  <autoFilter ref="A1:H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6" customWidth="1" min="4" max="4"/>
    <col width="92" customWidth="1" min="5" max="5"/>
  </cols>
  <sheetData>
    <row r="1" ht="30" customHeight="1">
      <c r="A1" s="3" t="inlineStr">
        <is>
          <t>ID</t>
        </is>
      </c>
      <c r="B1" s="3" t="inlineStr">
        <is>
          <t>Item</t>
        </is>
      </c>
      <c r="C1" s="3" t="inlineStr">
        <is>
          <t>Situação</t>
        </is>
      </c>
      <c r="D1" s="3" t="inlineStr">
        <is>
          <t>Referência no TCC1</t>
        </is>
      </c>
      <c r="E1" s="3" t="inlineStr">
        <is>
          <t>Justificativa</t>
        </is>
      </c>
    </row>
    <row r="2">
      <c r="A2" s="8" t="n">
        <v>1</v>
      </c>
      <c r="B2" s="8" t="inlineStr">
        <is>
          <t>Sistema de reputação e ranking semestral</t>
        </is>
      </c>
      <c r="C2" s="8" t="inlineStr">
        <is>
          <t>Removido</t>
        </is>
      </c>
      <c r="D2" s="8" t="inlineStr">
        <is>
          <t>RF-PRF-007, RF-VOL-016 do TCC1</t>
        </is>
      </c>
      <c r="E2" s="8" t="inlineStr">
        <is>
          <t>A pontuação pública desloca o incentivo de ajudar para o de pontuar, e o efeito é mais forte num fórum de disciplina, onde as mesmas pessoas convivem o semestre inteiro, do que numa comunidade aberta. O reconhecimento permaneceu apenas na marcação de melhor resposta, que serve a quem consulta o tópico depois.</t>
        </is>
      </c>
    </row>
    <row r="3">
      <c r="A3" s="9" t="n">
        <v>2</v>
      </c>
      <c r="B3" s="9" t="inlineStr">
        <is>
          <t>Módulo de colaboração em grupo</t>
        </is>
      </c>
      <c r="C3" s="9" t="inlineStr">
        <is>
          <t>Incorporado</t>
        </is>
      </c>
      <c r="D3" s="9" t="inlineStr">
        <is>
          <t>RF-COL-001 a RF-COL-014</t>
        </is>
      </c>
      <c r="E3" s="9" t="inlineStr">
        <is>
          <t>Não estava previsto com esta extensão. Foi incorporado ao se constatar, no levantamento, que a discussão de trabalho em grupo acontecia integralmente fora dos sistemas da universidade — a lacuna mais visível entre as observadas.</t>
        </is>
      </c>
    </row>
    <row r="4">
      <c r="A4" s="8" t="n">
        <v>3</v>
      </c>
      <c r="B4" s="8" t="inlineStr">
        <is>
          <t>Busca com Elasticsearch</t>
        </is>
      </c>
      <c r="C4" s="8" t="inlineStr">
        <is>
          <t>Substituído</t>
        </is>
      </c>
      <c r="D4" s="8" t="inlineStr">
        <is>
          <t>RF-FOR-012 do TCC1</t>
        </is>
      </c>
      <c r="E4" s="8" t="inlineStr">
        <is>
          <t>Substituído por busca vetorial com pgvector no próprio PostgreSQL, com queda automática para busca textual. Evita um serviço adicional para manter e permite comparar por significado, não só por termo — o que importa quando a pessoa descreve a dúvida com as próprias palavras.</t>
        </is>
      </c>
    </row>
    <row r="5">
      <c r="A5" s="9" t="n">
        <v>4</v>
      </c>
      <c r="B5" s="9" t="inlineStr">
        <is>
          <t>Verificação automática de discurso de ódio</t>
        </is>
      </c>
      <c r="C5" s="9" t="inlineStr">
        <is>
          <t>Não implementado</t>
        </is>
      </c>
      <c r="D5" s="9" t="inlineStr">
        <is>
          <t>RF-FOR-016 do TCC1</t>
        </is>
      </c>
      <c r="E5" s="9" t="inlineStr">
        <is>
          <t>Dependia de serviço externo pago. A moderação é humana, por denúncia, com análise registrada e justificativa comunicada ao autor. Fica como trabalho futuro.</t>
        </is>
      </c>
    </row>
    <row r="6">
      <c r="A6" s="8" t="n">
        <v>5</v>
      </c>
      <c r="B6" s="8" t="inlineStr">
        <is>
          <t>Registro de doações</t>
        </is>
      </c>
      <c r="C6" s="8" t="inlineStr">
        <is>
          <t>Reformulado</t>
        </is>
      </c>
      <c r="D6" s="8" t="inlineStr">
        <is>
          <t>RF-VOL-014 do TCC1</t>
        </is>
      </c>
      <c r="E6" s="8" t="inlineStr">
        <is>
          <t>O TCC1 previa doação como gerador de pontos, com fórmula progressiva por item. A pontuação foi removida, mas a doação em si retornou como modalidade própria de oportunidade: a organização publica uma campanha, define a unidade de contagem e uma meta opcional, e o estudante declara o que pretende entregar. O que mudou foi o propósito — antes o item valia pontos numa classificação, agora ele conta para uma arrecadação com destino concreto.</t>
        </is>
      </c>
    </row>
    <row r="7">
      <c r="A7" s="9" t="n">
        <v>6</v>
      </c>
      <c r="B7" s="9" t="inlineStr">
        <is>
          <t>Separação entre doação declarada e confirmada</t>
        </is>
      </c>
      <c r="C7" s="9" t="inlineStr">
        <is>
          <t>Incorporado</t>
        </is>
      </c>
      <c r="D7" s="9" t="inlineStr">
        <is>
          <t>Sem correspondência no TCC1</t>
        </is>
      </c>
      <c r="E7" s="9" t="inlineStr">
        <is>
          <t>O desenho original registrava a doação num único valor. Na implementação ficou claro que intenção e recebimento são coisas distintas: somar o que os estudantes prometeram faria a campanha exibir uma arrecadação que nunca chegou. A confirmação passou a ser ato exclusivo da organização.</t>
        </is>
      </c>
    </row>
    <row r="8">
      <c r="A8" s="8" t="n">
        <v>7</v>
      </c>
      <c r="B8" s="8" t="inlineStr">
        <is>
          <t>Restrição de publicação por decisão pedagógica</t>
        </is>
      </c>
      <c r="C8" s="8" t="inlineStr">
        <is>
          <t>Incorporado</t>
        </is>
      </c>
      <c r="D8" s="8" t="inlineStr">
        <is>
          <t>RF-FOR-015</t>
        </is>
      </c>
      <c r="E8" s="8" t="inlineStr">
        <is>
          <t>Não estava previsto. Surgiu da distinção entre conteúdo que infringe regra, que é caso de denúncia, e resposta que entrega o exercício pronto, que não infringe nada e ainda assim prejudica a turma.</t>
        </is>
      </c>
    </row>
    <row r="9">
      <c r="A9" s="9" t="n">
        <v>8</v>
      </c>
      <c r="B9" s="9" t="inlineStr">
        <is>
          <t>Acervo de arquivos por disciplina</t>
        </is>
      </c>
      <c r="C9" s="9" t="inlineStr">
        <is>
          <t>Incorporado</t>
        </is>
      </c>
      <c r="D9" s="9" t="inlineStr">
        <is>
          <t>RF-COL-014</t>
        </is>
      </c>
      <c r="E9" s="9" t="inlineStr">
        <is>
          <t>Não estava previsto. Surgiu do uso: o material chegava por três caminhos diferentes e reencontrá-lo exigia lembrar por qual deles havia passado.</t>
        </is>
      </c>
    </row>
    <row r="10">
      <c r="A10" s="8" t="n">
        <v>9</v>
      </c>
      <c r="B10" s="8" t="inlineStr">
        <is>
          <t>Certificado com assinatura digital X.509</t>
        </is>
      </c>
      <c r="C10" s="8" t="inlineStr">
        <is>
          <t>Reduzido</t>
        </is>
      </c>
      <c r="D10" s="8" t="inlineStr">
        <is>
          <t>RF-VOL-012 do TCC1</t>
        </is>
      </c>
      <c r="E10" s="8" t="inlineStr">
        <is>
          <t>O certificado é emitido em PDF com código único de conferência. A assinatura criptográfica com certificado digital exigiria infraestrutura de chaves institucional, fora do alcance do trabalho.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2026-10-05T15:16:35Z</dcterms:created>
  <dcterms:modified xsi:type="dcterms:W3CDTF">2026-10-05T15:16:35Z</dcterms:modified>
</cp:coreProperties>
</file>